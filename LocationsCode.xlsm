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LDO\Desktop\"/>
    </mc:Choice>
  </mc:AlternateContent>
  <xr:revisionPtr revIDLastSave="0" documentId="13_ncr:1_{512C47D4-4CA2-46DA-A8E1-037B16A4E16A}" xr6:coauthVersionLast="47" xr6:coauthVersionMax="47" xr10:uidLastSave="{00000000-0000-0000-0000-000000000000}"/>
  <bookViews>
    <workbookView xWindow="-108" yWindow="-108" windowWidth="23256" windowHeight="12576" xr2:uid="{31B08A69-7627-438C-B0AF-326400DBA83D}"/>
  </bookViews>
  <sheets>
    <sheet name="intro" sheetId="3" r:id="rId1"/>
    <sheet name="encoding" sheetId="1" r:id="rId2"/>
    <sheet name="grid" sheetId="2" r:id="rId3"/>
    <sheet name="bulk" sheetId="4" r:id="rId4"/>
  </sheets>
  <functionGroups builtInGroupCount="19"/>
  <definedNames>
    <definedName name="_xlnm._FilterDatabase" localSheetId="3" hidden="1">bulk!$A$1:$I$638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O7" i="2" s="1"/>
  <c r="P7" i="2" s="1"/>
  <c r="Q7" i="2" s="1"/>
  <c r="D5" i="1"/>
  <c r="C5" i="1"/>
  <c r="D3" i="1"/>
  <c r="C3" i="1"/>
  <c r="E5" i="1"/>
  <c r="E3" i="1"/>
  <c r="F3" i="1" s="1"/>
  <c r="Q39" i="2"/>
  <c r="I39" i="2"/>
  <c r="A39" i="2"/>
  <c r="J38" i="2"/>
  <c r="K37" i="2"/>
  <c r="C37" i="2"/>
  <c r="L36" i="2"/>
  <c r="D36" i="2"/>
  <c r="M35" i="2"/>
  <c r="E35" i="2"/>
  <c r="N34" i="2"/>
  <c r="F34" i="2"/>
  <c r="O33" i="2"/>
  <c r="G33" i="2"/>
  <c r="P32" i="2"/>
  <c r="H32" i="2"/>
  <c r="Q31" i="2"/>
  <c r="I31" i="2"/>
  <c r="A31" i="2"/>
  <c r="J30" i="2"/>
  <c r="K29" i="2"/>
  <c r="C29" i="2"/>
  <c r="L28" i="2"/>
  <c r="D28" i="2"/>
  <c r="M27" i="2"/>
  <c r="E27" i="2"/>
  <c r="N26" i="2"/>
  <c r="F26" i="2"/>
  <c r="O25" i="2"/>
  <c r="G25" i="2"/>
  <c r="P39" i="2"/>
  <c r="H39" i="2"/>
  <c r="Q38" i="2"/>
  <c r="I38" i="2"/>
  <c r="A38" i="2"/>
  <c r="J37" i="2"/>
  <c r="K36" i="2"/>
  <c r="C36" i="2"/>
  <c r="L35" i="2"/>
  <c r="D35" i="2"/>
  <c r="M34" i="2"/>
  <c r="E34" i="2"/>
  <c r="N33" i="2"/>
  <c r="F33" i="2"/>
  <c r="O32" i="2"/>
  <c r="G32" i="2"/>
  <c r="P31" i="2"/>
  <c r="H31" i="2"/>
  <c r="Q30" i="2"/>
  <c r="I30" i="2"/>
  <c r="A30" i="2"/>
  <c r="J29" i="2"/>
  <c r="K28" i="2"/>
  <c r="C28" i="2"/>
  <c r="L27" i="2"/>
  <c r="D27" i="2"/>
  <c r="M26" i="2"/>
  <c r="E26" i="2"/>
  <c r="N25" i="2"/>
  <c r="F25" i="2"/>
  <c r="O24" i="2"/>
  <c r="G24" i="2"/>
  <c r="P23" i="2"/>
  <c r="H23" i="2"/>
  <c r="Q22" i="2"/>
  <c r="I22" i="2"/>
  <c r="A22" i="2"/>
  <c r="J21" i="2"/>
  <c r="K20" i="2"/>
  <c r="C20" i="2"/>
  <c r="L19" i="2"/>
  <c r="D19" i="2"/>
  <c r="M18" i="2"/>
  <c r="E18" i="2"/>
  <c r="N17" i="2"/>
  <c r="F17" i="2"/>
  <c r="O16" i="2"/>
  <c r="G16" i="2"/>
  <c r="P15" i="2"/>
  <c r="H15" i="2"/>
  <c r="Q14" i="2"/>
  <c r="I14" i="2"/>
  <c r="A14" i="2"/>
  <c r="J13" i="2"/>
  <c r="K12" i="2"/>
  <c r="C12" i="2"/>
  <c r="L11" i="2"/>
  <c r="D11" i="2"/>
  <c r="M10" i="2"/>
  <c r="E10" i="2"/>
  <c r="N9" i="2"/>
  <c r="F9" i="2"/>
  <c r="O8" i="2"/>
  <c r="G8" i="2"/>
  <c r="M6" i="2"/>
  <c r="E6" i="2"/>
  <c r="O39" i="2"/>
  <c r="G39" i="2"/>
  <c r="P38" i="2"/>
  <c r="H38" i="2"/>
  <c r="Q37" i="2"/>
  <c r="I37" i="2"/>
  <c r="A37" i="2"/>
  <c r="J36" i="2"/>
  <c r="K35" i="2"/>
  <c r="C35" i="2"/>
  <c r="L34" i="2"/>
  <c r="D34" i="2"/>
  <c r="M33" i="2"/>
  <c r="E33" i="2"/>
  <c r="N32" i="2"/>
  <c r="F32" i="2"/>
  <c r="O31" i="2"/>
  <c r="G31" i="2"/>
  <c r="P30" i="2"/>
  <c r="H30" i="2"/>
  <c r="Q29" i="2"/>
  <c r="I29" i="2"/>
  <c r="A29" i="2"/>
  <c r="J28" i="2"/>
  <c r="K27" i="2"/>
  <c r="C27" i="2"/>
  <c r="L26" i="2"/>
  <c r="D26" i="2"/>
  <c r="M25" i="2"/>
  <c r="E25" i="2"/>
  <c r="N24" i="2"/>
  <c r="F24" i="2"/>
  <c r="O23" i="2"/>
  <c r="G23" i="2"/>
  <c r="P22" i="2"/>
  <c r="H22" i="2"/>
  <c r="Q21" i="2"/>
  <c r="I21" i="2"/>
  <c r="A21" i="2"/>
  <c r="J20" i="2"/>
  <c r="K19" i="2"/>
  <c r="C19" i="2"/>
  <c r="L18" i="2"/>
  <c r="D18" i="2"/>
  <c r="M17" i="2"/>
  <c r="E17" i="2"/>
  <c r="N16" i="2"/>
  <c r="F16" i="2"/>
  <c r="N39" i="2"/>
  <c r="C39" i="2"/>
  <c r="F38" i="2"/>
  <c r="L37" i="2"/>
  <c r="O36" i="2"/>
  <c r="A36" i="2"/>
  <c r="G35" i="2"/>
  <c r="J34" i="2"/>
  <c r="P33" i="2"/>
  <c r="E32" i="2"/>
  <c r="K31" i="2"/>
  <c r="N30" i="2"/>
  <c r="C30" i="2"/>
  <c r="F29" i="2"/>
  <c r="I28" i="2"/>
  <c r="O27" i="2"/>
  <c r="A27" i="2"/>
  <c r="G26" i="2"/>
  <c r="J25" i="2"/>
  <c r="P24" i="2"/>
  <c r="D24" i="2"/>
  <c r="K23" i="2"/>
  <c r="A23" i="2"/>
  <c r="F22" i="2"/>
  <c r="M21" i="2"/>
  <c r="C21" i="2"/>
  <c r="H20" i="2"/>
  <c r="O19" i="2"/>
  <c r="E19" i="2"/>
  <c r="J18" i="2"/>
  <c r="Q17" i="2"/>
  <c r="G17" i="2"/>
  <c r="L16" i="2"/>
  <c r="J15" i="2"/>
  <c r="A15" i="2"/>
  <c r="H14" i="2"/>
  <c r="P13" i="2"/>
  <c r="G13" i="2"/>
  <c r="O12" i="2"/>
  <c r="F12" i="2"/>
  <c r="N11" i="2"/>
  <c r="E11" i="2"/>
  <c r="L10" i="2"/>
  <c r="C10" i="2"/>
  <c r="K9" i="2"/>
  <c r="J8" i="2"/>
  <c r="L6" i="2"/>
  <c r="C6" i="2"/>
  <c r="M36" i="2"/>
  <c r="K33" i="2"/>
  <c r="C32" i="2"/>
  <c r="L30" i="2"/>
  <c r="D29" i="2"/>
  <c r="J27" i="2"/>
  <c r="H25" i="2"/>
  <c r="L24" i="2"/>
  <c r="I23" i="2"/>
  <c r="N22" i="2"/>
  <c r="D22" i="2"/>
  <c r="K21" i="2"/>
  <c r="P20" i="2"/>
  <c r="F20" i="2"/>
  <c r="M19" i="2"/>
  <c r="A19" i="2"/>
  <c r="H18" i="2"/>
  <c r="O17" i="2"/>
  <c r="J16" i="2"/>
  <c r="G15" i="2"/>
  <c r="F14" i="2"/>
  <c r="N13" i="2"/>
  <c r="E13" i="2"/>
  <c r="M12" i="2"/>
  <c r="D12" i="2"/>
  <c r="K11" i="2"/>
  <c r="J10" i="2"/>
  <c r="A10" i="2"/>
  <c r="I9" i="2"/>
  <c r="Q8" i="2"/>
  <c r="H8" i="2"/>
  <c r="J6" i="2"/>
  <c r="K39" i="2"/>
  <c r="N38" i="2"/>
  <c r="C38" i="2"/>
  <c r="F37" i="2"/>
  <c r="I36" i="2"/>
  <c r="A35" i="2"/>
  <c r="G34" i="2"/>
  <c r="J33" i="2"/>
  <c r="M32" i="2"/>
  <c r="E31" i="2"/>
  <c r="N29" i="2"/>
  <c r="Q28" i="2"/>
  <c r="I27" i="2"/>
  <c r="A26" i="2"/>
  <c r="D25" i="2"/>
  <c r="A24" i="2"/>
  <c r="M22" i="2"/>
  <c r="H21" i="2"/>
  <c r="Q18" i="2"/>
  <c r="L17" i="2"/>
  <c r="I16" i="2"/>
  <c r="F15" i="2"/>
  <c r="E14" i="2"/>
  <c r="L12" i="2"/>
  <c r="A11" i="2"/>
  <c r="H9" i="2"/>
  <c r="I6" i="2"/>
  <c r="M38" i="2"/>
  <c r="H36" i="2"/>
  <c r="Q34" i="2"/>
  <c r="I33" i="2"/>
  <c r="M39" i="2"/>
  <c r="E38" i="2"/>
  <c r="H37" i="2"/>
  <c r="N36" i="2"/>
  <c r="Q35" i="2"/>
  <c r="F35" i="2"/>
  <c r="I34" i="2"/>
  <c r="L33" i="2"/>
  <c r="A33" i="2"/>
  <c r="D32" i="2"/>
  <c r="J31" i="2"/>
  <c r="M30" i="2"/>
  <c r="P29" i="2"/>
  <c r="E29" i="2"/>
  <c r="H28" i="2"/>
  <c r="N27" i="2"/>
  <c r="Q26" i="2"/>
  <c r="C26" i="2"/>
  <c r="I25" i="2"/>
  <c r="M24" i="2"/>
  <c r="C24" i="2"/>
  <c r="J23" i="2"/>
  <c r="O22" i="2"/>
  <c r="E22" i="2"/>
  <c r="L21" i="2"/>
  <c r="Q20" i="2"/>
  <c r="G20" i="2"/>
  <c r="N19" i="2"/>
  <c r="I18" i="2"/>
  <c r="P17" i="2"/>
  <c r="D17" i="2"/>
  <c r="K16" i="2"/>
  <c r="A16" i="2"/>
  <c r="I15" i="2"/>
  <c r="P14" i="2"/>
  <c r="G14" i="2"/>
  <c r="O13" i="2"/>
  <c r="F13" i="2"/>
  <c r="N12" i="2"/>
  <c r="E12" i="2"/>
  <c r="M11" i="2"/>
  <c r="C11" i="2"/>
  <c r="K10" i="2"/>
  <c r="J9" i="2"/>
  <c r="A9" i="2"/>
  <c r="I8" i="2"/>
  <c r="K6" i="2"/>
  <c r="L39" i="2"/>
  <c r="O38" i="2"/>
  <c r="D38" i="2"/>
  <c r="G37" i="2"/>
  <c r="P35" i="2"/>
  <c r="H34" i="2"/>
  <c r="Q32" i="2"/>
  <c r="F31" i="2"/>
  <c r="O29" i="2"/>
  <c r="G28" i="2"/>
  <c r="P26" i="2"/>
  <c r="C17" i="2"/>
  <c r="Q15" i="2"/>
  <c r="O14" i="2"/>
  <c r="O35" i="2"/>
  <c r="K30" i="2"/>
  <c r="F28" i="2"/>
  <c r="O26" i="2"/>
  <c r="K24" i="2"/>
  <c r="F23" i="2"/>
  <c r="C22" i="2"/>
  <c r="O20" i="2"/>
  <c r="E20" i="2"/>
  <c r="G18" i="2"/>
  <c r="O15" i="2"/>
  <c r="N14" i="2"/>
  <c r="D13" i="2"/>
  <c r="I10" i="2"/>
  <c r="P8" i="2"/>
  <c r="P37" i="2"/>
  <c r="A32" i="2"/>
  <c r="J19" i="2"/>
  <c r="M13" i="2"/>
  <c r="J11" i="2"/>
  <c r="Q9" i="2"/>
  <c r="F8" i="2"/>
  <c r="J39" i="2"/>
  <c r="E37" i="2"/>
  <c r="N35" i="2"/>
  <c r="C34" i="2"/>
  <c r="L32" i="2"/>
  <c r="G30" i="2"/>
  <c r="F39" i="2"/>
  <c r="M37" i="2"/>
  <c r="I35" i="2"/>
  <c r="H33" i="2"/>
  <c r="L31" i="2"/>
  <c r="M29" i="2"/>
  <c r="E28" i="2"/>
  <c r="K26" i="2"/>
  <c r="C25" i="2"/>
  <c r="Q23" i="2"/>
  <c r="L22" i="2"/>
  <c r="G21" i="2"/>
  <c r="D20" i="2"/>
  <c r="P18" i="2"/>
  <c r="K17" i="2"/>
  <c r="H16" i="2"/>
  <c r="E15" i="2"/>
  <c r="D14" i="2"/>
  <c r="C13" i="2"/>
  <c r="A12" i="2"/>
  <c r="Q10" i="2"/>
  <c r="P9" i="2"/>
  <c r="A8" i="2"/>
  <c r="O6" i="2"/>
  <c r="N18" i="2"/>
  <c r="C15" i="2"/>
  <c r="P11" i="2"/>
  <c r="M9" i="2"/>
  <c r="H6" i="2"/>
  <c r="O34" i="2"/>
  <c r="G29" i="2"/>
  <c r="Q24" i="2"/>
  <c r="D21" i="2"/>
  <c r="H17" i="2"/>
  <c r="Q13" i="2"/>
  <c r="N10" i="2"/>
  <c r="L8" i="2"/>
  <c r="G36" i="2"/>
  <c r="J32" i="2"/>
  <c r="H27" i="2"/>
  <c r="E23" i="2"/>
  <c r="F18" i="2"/>
  <c r="M14" i="2"/>
  <c r="I11" i="2"/>
  <c r="K8" i="2"/>
  <c r="F36" i="2"/>
  <c r="O28" i="2"/>
  <c r="I24" i="2"/>
  <c r="M20" i="2"/>
  <c r="Q16" i="2"/>
  <c r="K13" i="2"/>
  <c r="H11" i="2"/>
  <c r="E8" i="2"/>
  <c r="O37" i="2"/>
  <c r="A34" i="2"/>
  <c r="E30" i="2"/>
  <c r="L25" i="2"/>
  <c r="O21" i="2"/>
  <c r="F10" i="2"/>
  <c r="Q6" i="2"/>
  <c r="Q33" i="2"/>
  <c r="M28" i="2"/>
  <c r="E24" i="2"/>
  <c r="I20" i="2"/>
  <c r="M16" i="2"/>
  <c r="H13" i="2"/>
  <c r="D10" i="2"/>
  <c r="C8" i="2"/>
  <c r="E39" i="2"/>
  <c r="D37" i="2"/>
  <c r="H35" i="2"/>
  <c r="D33" i="2"/>
  <c r="D31" i="2"/>
  <c r="L29" i="2"/>
  <c r="A28" i="2"/>
  <c r="J26" i="2"/>
  <c r="N23" i="2"/>
  <c r="K22" i="2"/>
  <c r="F21" i="2"/>
  <c r="A20" i="2"/>
  <c r="O18" i="2"/>
  <c r="J17" i="2"/>
  <c r="E16" i="2"/>
  <c r="D15" i="2"/>
  <c r="C14" i="2"/>
  <c r="A13" i="2"/>
  <c r="Q11" i="2"/>
  <c r="P10" i="2"/>
  <c r="O9" i="2"/>
  <c r="N8" i="2"/>
  <c r="N6" i="2"/>
  <c r="J22" i="2"/>
  <c r="Q19" i="2"/>
  <c r="D16" i="2"/>
  <c r="Q12" i="2"/>
  <c r="O10" i="2"/>
  <c r="M8" i="2"/>
  <c r="L38" i="2"/>
  <c r="K32" i="2"/>
  <c r="P27" i="2"/>
  <c r="L23" i="2"/>
  <c r="P19" i="2"/>
  <c r="C16" i="2"/>
  <c r="P12" i="2"/>
  <c r="O11" i="2"/>
  <c r="L9" i="2"/>
  <c r="G6" i="2"/>
  <c r="K34" i="2"/>
  <c r="P28" i="2"/>
  <c r="J24" i="2"/>
  <c r="N20" i="2"/>
  <c r="A17" i="2"/>
  <c r="L13" i="2"/>
  <c r="H10" i="2"/>
  <c r="F6" i="2"/>
  <c r="I32" i="2"/>
  <c r="G27" i="2"/>
  <c r="D23" i="2"/>
  <c r="H19" i="2"/>
  <c r="M15" i="2"/>
  <c r="I12" i="2"/>
  <c r="G10" i="2"/>
  <c r="N31" i="2"/>
  <c r="F27" i="2"/>
  <c r="C23" i="2"/>
  <c r="G19" i="2"/>
  <c r="L15" i="2"/>
  <c r="I13" i="2"/>
  <c r="G11" i="2"/>
  <c r="D8" i="2"/>
  <c r="J35" i="2"/>
  <c r="D30" i="2"/>
  <c r="K25" i="2"/>
  <c r="N21" i="2"/>
  <c r="A18" i="2"/>
  <c r="J14" i="2"/>
  <c r="F11" i="2"/>
  <c r="P6" i="2"/>
  <c r="D39" i="2"/>
  <c r="Q36" i="2"/>
  <c r="P34" i="2"/>
  <c r="C33" i="2"/>
  <c r="C31" i="2"/>
  <c r="H29" i="2"/>
  <c r="Q27" i="2"/>
  <c r="I26" i="2"/>
  <c r="A25" i="2"/>
  <c r="M23" i="2"/>
  <c r="E21" i="2"/>
  <c r="I17" i="2"/>
  <c r="P36" i="2"/>
  <c r="H26" i="2"/>
  <c r="G22" i="2"/>
  <c r="K18" i="2"/>
  <c r="K38" i="2"/>
  <c r="O30" i="2"/>
  <c r="Q25" i="2"/>
  <c r="I19" i="2"/>
  <c r="N15" i="2"/>
  <c r="J12" i="2"/>
  <c r="G9" i="2"/>
  <c r="G38" i="2"/>
  <c r="F30" i="2"/>
  <c r="P25" i="2"/>
  <c r="P21" i="2"/>
  <c r="C18" i="2"/>
  <c r="L14" i="2"/>
  <c r="E9" i="2"/>
  <c r="D6" i="2"/>
  <c r="E36" i="2"/>
  <c r="N28" i="2"/>
  <c r="H24" i="2"/>
  <c r="L20" i="2"/>
  <c r="P16" i="2"/>
  <c r="K14" i="2"/>
  <c r="H12" i="2"/>
  <c r="D9" i="2"/>
  <c r="N37" i="2"/>
  <c r="M31" i="2"/>
  <c r="F19" i="2"/>
  <c r="K15" i="2"/>
  <c r="G12" i="2"/>
  <c r="C9" i="2"/>
  <c r="G19" i="4"/>
  <c r="G83" i="4"/>
  <c r="G147" i="4"/>
  <c r="G211" i="4"/>
  <c r="G275" i="4"/>
  <c r="G339" i="4"/>
  <c r="G403" i="4"/>
  <c r="G467" i="4"/>
  <c r="G531" i="4"/>
  <c r="G595" i="4"/>
  <c r="G266" i="4"/>
  <c r="G12" i="4"/>
  <c r="G76" i="4"/>
  <c r="G140" i="4"/>
  <c r="G204" i="4"/>
  <c r="G268" i="4"/>
  <c r="G332" i="4"/>
  <c r="G396" i="4"/>
  <c r="G460" i="4"/>
  <c r="G524" i="4"/>
  <c r="G588" i="4"/>
  <c r="G234" i="4"/>
  <c r="G5" i="4"/>
  <c r="G69" i="4"/>
  <c r="G133" i="4"/>
  <c r="G197" i="4"/>
  <c r="G261" i="4"/>
  <c r="G325" i="4"/>
  <c r="G389" i="4"/>
  <c r="G453" i="4"/>
  <c r="G517" i="4"/>
  <c r="G581" i="4"/>
  <c r="G210" i="4"/>
  <c r="G14" i="4"/>
  <c r="G78" i="4"/>
  <c r="G142" i="4"/>
  <c r="G206" i="4"/>
  <c r="G270" i="4"/>
  <c r="G334" i="4"/>
  <c r="G398" i="4"/>
  <c r="G462" i="4"/>
  <c r="G526" i="4"/>
  <c r="G590" i="4"/>
  <c r="G250" i="4"/>
  <c r="G15" i="4"/>
  <c r="G79" i="4"/>
  <c r="G143" i="4"/>
  <c r="G207" i="4"/>
  <c r="G271" i="4"/>
  <c r="G335" i="4"/>
  <c r="G399" i="4"/>
  <c r="G463" i="4"/>
  <c r="G527" i="4"/>
  <c r="G591" i="4"/>
  <c r="G258" i="4"/>
  <c r="G8" i="4"/>
  <c r="G72" i="4"/>
  <c r="G136" i="4"/>
  <c r="G200" i="4"/>
  <c r="G264" i="4"/>
  <c r="G328" i="4"/>
  <c r="G392" i="4"/>
  <c r="G456" i="4"/>
  <c r="G520" i="4"/>
  <c r="G584" i="4"/>
  <c r="G74" i="4"/>
  <c r="G298" i="4"/>
  <c r="G17" i="4"/>
  <c r="G81" i="4"/>
  <c r="G145" i="4"/>
  <c r="G209" i="4"/>
  <c r="G273" i="4"/>
  <c r="G337" i="4"/>
  <c r="G401" i="4"/>
  <c r="G465" i="4"/>
  <c r="G529" i="4"/>
  <c r="G593" i="4"/>
  <c r="G82" i="4"/>
  <c r="G338" i="4"/>
  <c r="G42" i="4"/>
  <c r="G365" i="4"/>
  <c r="G118" i="4"/>
  <c r="G374" i="4"/>
  <c r="G630" i="4"/>
  <c r="G183" i="4"/>
  <c r="G375" i="4"/>
  <c r="G514" i="4"/>
  <c r="G240" i="4"/>
  <c r="G560" i="4"/>
  <c r="G121" i="4"/>
  <c r="G569" i="4"/>
  <c r="G509" i="4"/>
  <c r="G262" i="4"/>
  <c r="G186" i="4"/>
  <c r="G391" i="4"/>
  <c r="G64" i="4"/>
  <c r="G384" i="4"/>
  <c r="G9" i="4"/>
  <c r="G393" i="4"/>
  <c r="G274" i="4"/>
  <c r="G27" i="4"/>
  <c r="G91" i="4"/>
  <c r="G155" i="4"/>
  <c r="G219" i="4"/>
  <c r="G283" i="4"/>
  <c r="G347" i="4"/>
  <c r="G411" i="4"/>
  <c r="G475" i="4"/>
  <c r="G539" i="4"/>
  <c r="G603" i="4"/>
  <c r="G322" i="4"/>
  <c r="G20" i="4"/>
  <c r="G84" i="4"/>
  <c r="G148" i="4"/>
  <c r="G212" i="4"/>
  <c r="G276" i="4"/>
  <c r="G340" i="4"/>
  <c r="G404" i="4"/>
  <c r="G468" i="4"/>
  <c r="G532" i="4"/>
  <c r="G596" i="4"/>
  <c r="G282" i="4"/>
  <c r="G13" i="4"/>
  <c r="G77" i="4"/>
  <c r="G141" i="4"/>
  <c r="G205" i="4"/>
  <c r="G269" i="4"/>
  <c r="G333" i="4"/>
  <c r="G397" i="4"/>
  <c r="G461" i="4"/>
  <c r="G525" i="4"/>
  <c r="G589" i="4"/>
  <c r="G290" i="4"/>
  <c r="G22" i="4"/>
  <c r="G86" i="4"/>
  <c r="G150" i="4"/>
  <c r="G214" i="4"/>
  <c r="G278" i="4"/>
  <c r="G342" i="4"/>
  <c r="G406" i="4"/>
  <c r="G470" i="4"/>
  <c r="G534" i="4"/>
  <c r="G598" i="4"/>
  <c r="G314" i="4"/>
  <c r="G23" i="4"/>
  <c r="G87" i="4"/>
  <c r="G151" i="4"/>
  <c r="G215" i="4"/>
  <c r="G279" i="4"/>
  <c r="G343" i="4"/>
  <c r="G407" i="4"/>
  <c r="G471" i="4"/>
  <c r="G535" i="4"/>
  <c r="G599" i="4"/>
  <c r="G306" i="4"/>
  <c r="G16" i="4"/>
  <c r="G80" i="4"/>
  <c r="G144" i="4"/>
  <c r="G208" i="4"/>
  <c r="G272" i="4"/>
  <c r="G336" i="4"/>
  <c r="G400" i="4"/>
  <c r="G464" i="4"/>
  <c r="G528" i="4"/>
  <c r="G592" i="4"/>
  <c r="G90" i="4"/>
  <c r="G346" i="4"/>
  <c r="G25" i="4"/>
  <c r="G89" i="4"/>
  <c r="G153" i="4"/>
  <c r="G217" i="4"/>
  <c r="G281" i="4"/>
  <c r="G345" i="4"/>
  <c r="G409" i="4"/>
  <c r="G473" i="4"/>
  <c r="G537" i="4"/>
  <c r="G601" i="4"/>
  <c r="G98" i="4"/>
  <c r="G394" i="4"/>
  <c r="G353" i="4"/>
  <c r="G481" i="4"/>
  <c r="G545" i="4"/>
  <c r="G114" i="4"/>
  <c r="G297" i="4"/>
  <c r="G489" i="4"/>
  <c r="G130" i="4"/>
  <c r="G296" i="4"/>
  <c r="G616" i="4"/>
  <c r="G49" i="4"/>
  <c r="G305" i="4"/>
  <c r="G497" i="4"/>
  <c r="G146" i="4"/>
  <c r="G59" i="4"/>
  <c r="G187" i="4"/>
  <c r="G443" i="4"/>
  <c r="G546" i="4"/>
  <c r="G180" i="4"/>
  <c r="G372" i="4"/>
  <c r="G628" i="4"/>
  <c r="G45" i="4"/>
  <c r="G567" i="4"/>
  <c r="G432" i="4"/>
  <c r="G154" i="4"/>
  <c r="G249" i="4"/>
  <c r="G441" i="4"/>
  <c r="G633" i="4"/>
  <c r="G381" i="4"/>
  <c r="G134" i="4"/>
  <c r="G518" i="4"/>
  <c r="G7" i="4"/>
  <c r="G327" i="4"/>
  <c r="G194" i="4"/>
  <c r="G256" i="4"/>
  <c r="G576" i="4"/>
  <c r="G137" i="4"/>
  <c r="G457" i="4"/>
  <c r="G35" i="4"/>
  <c r="G99" i="4"/>
  <c r="G163" i="4"/>
  <c r="G227" i="4"/>
  <c r="G291" i="4"/>
  <c r="G355" i="4"/>
  <c r="G419" i="4"/>
  <c r="G483" i="4"/>
  <c r="G547" i="4"/>
  <c r="G611" i="4"/>
  <c r="G378" i="4"/>
  <c r="G28" i="4"/>
  <c r="G92" i="4"/>
  <c r="G156" i="4"/>
  <c r="G220" i="4"/>
  <c r="G284" i="4"/>
  <c r="G348" i="4"/>
  <c r="G412" i="4"/>
  <c r="G476" i="4"/>
  <c r="G540" i="4"/>
  <c r="G604" i="4"/>
  <c r="G330" i="4"/>
  <c r="G21" i="4"/>
  <c r="G85" i="4"/>
  <c r="G149" i="4"/>
  <c r="G213" i="4"/>
  <c r="G277" i="4"/>
  <c r="G341" i="4"/>
  <c r="G405" i="4"/>
  <c r="G469" i="4"/>
  <c r="G533" i="4"/>
  <c r="G597" i="4"/>
  <c r="G370" i="4"/>
  <c r="G30" i="4"/>
  <c r="G94" i="4"/>
  <c r="G158" i="4"/>
  <c r="G222" i="4"/>
  <c r="G286" i="4"/>
  <c r="G350" i="4"/>
  <c r="G414" i="4"/>
  <c r="G478" i="4"/>
  <c r="G542" i="4"/>
  <c r="G606" i="4"/>
  <c r="G362" i="4"/>
  <c r="G31" i="4"/>
  <c r="G95" i="4"/>
  <c r="G159" i="4"/>
  <c r="G223" i="4"/>
  <c r="G287" i="4"/>
  <c r="G351" i="4"/>
  <c r="G415" i="4"/>
  <c r="G479" i="4"/>
  <c r="G543" i="4"/>
  <c r="G607" i="4"/>
  <c r="G354" i="4"/>
  <c r="G24" i="4"/>
  <c r="G88" i="4"/>
  <c r="G152" i="4"/>
  <c r="G216" i="4"/>
  <c r="G280" i="4"/>
  <c r="G344" i="4"/>
  <c r="G408" i="4"/>
  <c r="G472" i="4"/>
  <c r="G536" i="4"/>
  <c r="G600" i="4"/>
  <c r="G106" i="4"/>
  <c r="G402" i="4"/>
  <c r="G33" i="4"/>
  <c r="G97" i="4"/>
  <c r="G161" i="4"/>
  <c r="G225" i="4"/>
  <c r="G289" i="4"/>
  <c r="G417" i="4"/>
  <c r="G609" i="4"/>
  <c r="G450" i="4"/>
  <c r="G361" i="4"/>
  <c r="G553" i="4"/>
  <c r="G506" i="4"/>
  <c r="G488" i="4"/>
  <c r="G522" i="4"/>
  <c r="G177" i="4"/>
  <c r="G369" i="4"/>
  <c r="G625" i="4"/>
  <c r="G123" i="4"/>
  <c r="G251" i="4"/>
  <c r="G507" i="4"/>
  <c r="G52" i="4"/>
  <c r="G308" i="4"/>
  <c r="G500" i="4"/>
  <c r="G109" i="4"/>
  <c r="G301" i="4"/>
  <c r="G557" i="4"/>
  <c r="G54" i="4"/>
  <c r="G310" i="4"/>
  <c r="G566" i="4"/>
  <c r="G55" i="4"/>
  <c r="G311" i="4"/>
  <c r="G631" i="4"/>
  <c r="G176" i="4"/>
  <c r="G496" i="4"/>
  <c r="G57" i="4"/>
  <c r="G313" i="4"/>
  <c r="G178" i="4"/>
  <c r="G573" i="4"/>
  <c r="G390" i="4"/>
  <c r="G199" i="4"/>
  <c r="G583" i="4"/>
  <c r="G320" i="4"/>
  <c r="G242" i="4"/>
  <c r="G521" i="4"/>
  <c r="G43" i="4"/>
  <c r="G107" i="4"/>
  <c r="G171" i="4"/>
  <c r="G235" i="4"/>
  <c r="G299" i="4"/>
  <c r="G363" i="4"/>
  <c r="G427" i="4"/>
  <c r="G491" i="4"/>
  <c r="G555" i="4"/>
  <c r="G619" i="4"/>
  <c r="G426" i="4"/>
  <c r="G36" i="4"/>
  <c r="G100" i="4"/>
  <c r="G164" i="4"/>
  <c r="G228" i="4"/>
  <c r="G292" i="4"/>
  <c r="G356" i="4"/>
  <c r="G420" i="4"/>
  <c r="G484" i="4"/>
  <c r="G548" i="4"/>
  <c r="G612" i="4"/>
  <c r="G386" i="4"/>
  <c r="G29" i="4"/>
  <c r="G93" i="4"/>
  <c r="G157" i="4"/>
  <c r="G221" i="4"/>
  <c r="G285" i="4"/>
  <c r="G349" i="4"/>
  <c r="G413" i="4"/>
  <c r="G477" i="4"/>
  <c r="G541" i="4"/>
  <c r="G605" i="4"/>
  <c r="G434" i="4"/>
  <c r="G38" i="4"/>
  <c r="G102" i="4"/>
  <c r="G166" i="4"/>
  <c r="G230" i="4"/>
  <c r="G294" i="4"/>
  <c r="G358" i="4"/>
  <c r="G422" i="4"/>
  <c r="G486" i="4"/>
  <c r="G550" i="4"/>
  <c r="G614" i="4"/>
  <c r="G418" i="4"/>
  <c r="G39" i="4"/>
  <c r="G103" i="4"/>
  <c r="G167" i="4"/>
  <c r="G231" i="4"/>
  <c r="G295" i="4"/>
  <c r="G359" i="4"/>
  <c r="G423" i="4"/>
  <c r="G487" i="4"/>
  <c r="G551" i="4"/>
  <c r="G615" i="4"/>
  <c r="G410" i="4"/>
  <c r="G32" i="4"/>
  <c r="G96" i="4"/>
  <c r="G160" i="4"/>
  <c r="G224" i="4"/>
  <c r="G288" i="4"/>
  <c r="G352" i="4"/>
  <c r="G416" i="4"/>
  <c r="G480" i="4"/>
  <c r="G544" i="4"/>
  <c r="G608" i="4"/>
  <c r="G122" i="4"/>
  <c r="G458" i="4"/>
  <c r="G41" i="4"/>
  <c r="G105" i="4"/>
  <c r="G169" i="4"/>
  <c r="G233" i="4"/>
  <c r="G425" i="4"/>
  <c r="G617" i="4"/>
  <c r="G424" i="4"/>
  <c r="G138" i="4"/>
  <c r="G241" i="4"/>
  <c r="G561" i="4"/>
  <c r="G315" i="4"/>
  <c r="G571" i="4"/>
  <c r="G244" i="4"/>
  <c r="G436" i="4"/>
  <c r="G498" i="4"/>
  <c r="G237" i="4"/>
  <c r="G493" i="4"/>
  <c r="G538" i="4"/>
  <c r="G246" i="4"/>
  <c r="G502" i="4"/>
  <c r="G119" i="4"/>
  <c r="G439" i="4"/>
  <c r="G48" i="4"/>
  <c r="G304" i="4"/>
  <c r="G624" i="4"/>
  <c r="G185" i="4"/>
  <c r="G505" i="4"/>
  <c r="G445" i="4"/>
  <c r="G326" i="4"/>
  <c r="G71" i="4"/>
  <c r="G519" i="4"/>
  <c r="G192" i="4"/>
  <c r="G18" i="4"/>
  <c r="G265" i="4"/>
  <c r="G51" i="4"/>
  <c r="G115" i="4"/>
  <c r="G179" i="4"/>
  <c r="G243" i="4"/>
  <c r="G307" i="4"/>
  <c r="G371" i="4"/>
  <c r="G435" i="4"/>
  <c r="G499" i="4"/>
  <c r="G563" i="4"/>
  <c r="G627" i="4"/>
  <c r="G490" i="4"/>
  <c r="G44" i="4"/>
  <c r="G108" i="4"/>
  <c r="G172" i="4"/>
  <c r="G236" i="4"/>
  <c r="G300" i="4"/>
  <c r="G364" i="4"/>
  <c r="G428" i="4"/>
  <c r="G492" i="4"/>
  <c r="G556" i="4"/>
  <c r="G620" i="4"/>
  <c r="G442" i="4"/>
  <c r="G37" i="4"/>
  <c r="G101" i="4"/>
  <c r="G165" i="4"/>
  <c r="G229" i="4"/>
  <c r="G293" i="4"/>
  <c r="G357" i="4"/>
  <c r="G421" i="4"/>
  <c r="G485" i="4"/>
  <c r="G549" i="4"/>
  <c r="G613" i="4"/>
  <c r="G482" i="4"/>
  <c r="G46" i="4"/>
  <c r="G110" i="4"/>
  <c r="G174" i="4"/>
  <c r="G238" i="4"/>
  <c r="G302" i="4"/>
  <c r="G366" i="4"/>
  <c r="G430" i="4"/>
  <c r="G494" i="4"/>
  <c r="G558" i="4"/>
  <c r="G622" i="4"/>
  <c r="G474" i="4"/>
  <c r="G47" i="4"/>
  <c r="G111" i="4"/>
  <c r="G175" i="4"/>
  <c r="G239" i="4"/>
  <c r="G303" i="4"/>
  <c r="G367" i="4"/>
  <c r="G431" i="4"/>
  <c r="G495" i="4"/>
  <c r="G559" i="4"/>
  <c r="G623" i="4"/>
  <c r="G466" i="4"/>
  <c r="G40" i="4"/>
  <c r="G104" i="4"/>
  <c r="G168" i="4"/>
  <c r="G232" i="4"/>
  <c r="G360" i="4"/>
  <c r="G552" i="4"/>
  <c r="G113" i="4"/>
  <c r="G433" i="4"/>
  <c r="G570" i="4"/>
  <c r="G379" i="4"/>
  <c r="G116" i="4"/>
  <c r="G564" i="4"/>
  <c r="G173" i="4"/>
  <c r="G429" i="4"/>
  <c r="G621" i="4"/>
  <c r="G182" i="4"/>
  <c r="G438" i="4"/>
  <c r="G530" i="4"/>
  <c r="G247" i="4"/>
  <c r="G503" i="4"/>
  <c r="G112" i="4"/>
  <c r="G368" i="4"/>
  <c r="G578" i="4"/>
  <c r="G377" i="4"/>
  <c r="G626" i="4"/>
  <c r="G58" i="4"/>
  <c r="G454" i="4"/>
  <c r="G135" i="4"/>
  <c r="G455" i="4"/>
  <c r="G128" i="4"/>
  <c r="G448" i="4"/>
  <c r="G73" i="4"/>
  <c r="G329" i="4"/>
  <c r="G66" i="4"/>
  <c r="G3" i="4"/>
  <c r="G67" i="4"/>
  <c r="G131" i="4"/>
  <c r="G195" i="4"/>
  <c r="G259" i="4"/>
  <c r="G323" i="4"/>
  <c r="G387" i="4"/>
  <c r="G451" i="4"/>
  <c r="G515" i="4"/>
  <c r="G579" i="4"/>
  <c r="G162" i="4"/>
  <c r="G594" i="4"/>
  <c r="G60" i="4"/>
  <c r="G124" i="4"/>
  <c r="G188" i="4"/>
  <c r="G252" i="4"/>
  <c r="G316" i="4"/>
  <c r="G380" i="4"/>
  <c r="G444" i="4"/>
  <c r="G508" i="4"/>
  <c r="G572" i="4"/>
  <c r="G26" i="4"/>
  <c r="G554" i="4"/>
  <c r="G53" i="4"/>
  <c r="G117" i="4"/>
  <c r="G181" i="4"/>
  <c r="G245" i="4"/>
  <c r="G309" i="4"/>
  <c r="G373" i="4"/>
  <c r="G437" i="4"/>
  <c r="G501" i="4"/>
  <c r="G565" i="4"/>
  <c r="G629" i="4"/>
  <c r="G602" i="4"/>
  <c r="G62" i="4"/>
  <c r="G126" i="4"/>
  <c r="G190" i="4"/>
  <c r="G254" i="4"/>
  <c r="G318" i="4"/>
  <c r="G382" i="4"/>
  <c r="G446" i="4"/>
  <c r="G510" i="4"/>
  <c r="G574" i="4"/>
  <c r="G34" i="4"/>
  <c r="G586" i="4"/>
  <c r="G63" i="4"/>
  <c r="G127" i="4"/>
  <c r="G191" i="4"/>
  <c r="G255" i="4"/>
  <c r="G319" i="4"/>
  <c r="G383" i="4"/>
  <c r="G447" i="4"/>
  <c r="G511" i="4"/>
  <c r="G575" i="4"/>
  <c r="G50" i="4"/>
  <c r="G562" i="4"/>
  <c r="G56" i="4"/>
  <c r="G120" i="4"/>
  <c r="G184" i="4"/>
  <c r="G248" i="4"/>
  <c r="G312" i="4"/>
  <c r="G376" i="4"/>
  <c r="G440" i="4"/>
  <c r="G504" i="4"/>
  <c r="G568" i="4"/>
  <c r="G632" i="4"/>
  <c r="G202" i="4"/>
  <c r="G634" i="4"/>
  <c r="G65" i="4"/>
  <c r="G129" i="4"/>
  <c r="G193" i="4"/>
  <c r="G257" i="4"/>
  <c r="G321" i="4"/>
  <c r="G385" i="4"/>
  <c r="G449" i="4"/>
  <c r="G513" i="4"/>
  <c r="G577" i="4"/>
  <c r="G10" i="4"/>
  <c r="G226" i="4"/>
  <c r="G11" i="4"/>
  <c r="G75" i="4"/>
  <c r="G139" i="4"/>
  <c r="G203" i="4"/>
  <c r="G267" i="4"/>
  <c r="G331" i="4"/>
  <c r="G395" i="4"/>
  <c r="G459" i="4"/>
  <c r="G523" i="4"/>
  <c r="G587" i="4"/>
  <c r="G218" i="4"/>
  <c r="G4" i="4"/>
  <c r="G68" i="4"/>
  <c r="G132" i="4"/>
  <c r="G196" i="4"/>
  <c r="G260" i="4"/>
  <c r="G324" i="4"/>
  <c r="G388" i="4"/>
  <c r="G452" i="4"/>
  <c r="G516" i="4"/>
  <c r="G580" i="4"/>
  <c r="G170" i="4"/>
  <c r="G610" i="4"/>
  <c r="G61" i="4"/>
  <c r="G125" i="4"/>
  <c r="G189" i="4"/>
  <c r="G253" i="4"/>
  <c r="G317" i="4"/>
  <c r="G6" i="4"/>
  <c r="G70" i="4"/>
  <c r="G198" i="4"/>
  <c r="G582" i="4"/>
  <c r="G263" i="4"/>
  <c r="G618" i="4"/>
  <c r="G512" i="4"/>
  <c r="G201" i="4"/>
  <c r="G585" i="4"/>
  <c r="G2" i="4"/>
</calcChain>
</file>

<file path=xl/sharedStrings.xml><?xml version="1.0" encoding="utf-8"?>
<sst xmlns="http://schemas.openxmlformats.org/spreadsheetml/2006/main" count="2556" uniqueCount="686">
  <si>
    <t>Latitude</t>
  </si>
  <si>
    <t>Longitude</t>
  </si>
  <si>
    <t>Adds 90 to the latitude and 180 to the longitude</t>
  </si>
  <si>
    <t>Normalized coordinates are converted to arc seconds by multiplying by 3600 and rounding</t>
  </si>
  <si>
    <t>Converts to base 34 slid
 (2-9, A-Z)</t>
  </si>
  <si>
    <t>Character interleaving
make
LOCATIONS CODE</t>
  </si>
  <si>
    <t>degree</t>
  </si>
  <si>
    <t>decimal/decimal</t>
  </si>
  <si>
    <t>In this workbook</t>
  </si>
  <si>
    <t>- GRID: Displays the resolution of the Location Codes on Google Maps</t>
  </si>
  <si>
    <t>More information on the website</t>
  </si>
  <si>
    <t>https://www.locationscode.com</t>
  </si>
  <si>
    <t>Aldo Buondonno</t>
  </si>
  <si>
    <t>city_ascii</t>
  </si>
  <si>
    <t>state_id</t>
  </si>
  <si>
    <t>state_name</t>
  </si>
  <si>
    <t>county_name</t>
  </si>
  <si>
    <t>lat</t>
  </si>
  <si>
    <t>lng</t>
  </si>
  <si>
    <t>Locations Code</t>
  </si>
  <si>
    <t>Vancouver</t>
  </si>
  <si>
    <t>WA</t>
  </si>
  <si>
    <t>Washington</t>
  </si>
  <si>
    <t>Clark</t>
  </si>
  <si>
    <t>Minnehaha</t>
  </si>
  <si>
    <t>Hazel Dell</t>
  </si>
  <si>
    <t>Lake Shore</t>
  </si>
  <si>
    <t>Five Corners</t>
  </si>
  <si>
    <t>Orchards</t>
  </si>
  <si>
    <t>Felida</t>
  </si>
  <si>
    <t>Salmon Creek</t>
  </si>
  <si>
    <t>Barberton</t>
  </si>
  <si>
    <t>Brush Prairie</t>
  </si>
  <si>
    <t>Mount Vista</t>
  </si>
  <si>
    <t>Meadow Glade</t>
  </si>
  <si>
    <t>Battle Ground</t>
  </si>
  <si>
    <t>Duluth</t>
  </si>
  <si>
    <t>Cherry Grove</t>
  </si>
  <si>
    <t>Ridgefield</t>
  </si>
  <si>
    <t>Washougal</t>
  </si>
  <si>
    <t>Camas</t>
  </si>
  <si>
    <t>Fern Prairie</t>
  </si>
  <si>
    <t>Hockinson</t>
  </si>
  <si>
    <t>Venersborg</t>
  </si>
  <si>
    <t>Lewisville</t>
  </si>
  <si>
    <t>North Bonneville</t>
  </si>
  <si>
    <t>Skamania</t>
  </si>
  <si>
    <t>Stevenson</t>
  </si>
  <si>
    <t>Carson</t>
  </si>
  <si>
    <t>Lyle</t>
  </si>
  <si>
    <t>Klickitat</t>
  </si>
  <si>
    <t>Bingen</t>
  </si>
  <si>
    <t>White Salmon</t>
  </si>
  <si>
    <t>Dallesport</t>
  </si>
  <si>
    <t>Wishram</t>
  </si>
  <si>
    <t>Maryhill</t>
  </si>
  <si>
    <t>Centerville</t>
  </si>
  <si>
    <t>Goldendale</t>
  </si>
  <si>
    <t>Roosevelt</t>
  </si>
  <si>
    <t>Kelso</t>
  </si>
  <si>
    <t>Cowlitz</t>
  </si>
  <si>
    <t>Longview</t>
  </si>
  <si>
    <t>La Center</t>
  </si>
  <si>
    <t>Woodland</t>
  </si>
  <si>
    <t>Kalama</t>
  </si>
  <si>
    <t>Yacolt</t>
  </si>
  <si>
    <t>Amboy</t>
  </si>
  <si>
    <t>Cougar</t>
  </si>
  <si>
    <t>Trout Lake</t>
  </si>
  <si>
    <t>Glenwood</t>
  </si>
  <si>
    <t>Bickleton</t>
  </si>
  <si>
    <t>Touchet</t>
  </si>
  <si>
    <t>Walla Walla</t>
  </si>
  <si>
    <t>Wallula</t>
  </si>
  <si>
    <t>College Place</t>
  </si>
  <si>
    <t>Garrett</t>
  </si>
  <si>
    <t>Walla Walla East</t>
  </si>
  <si>
    <t>Dixie</t>
  </si>
  <si>
    <t>Anatone</t>
  </si>
  <si>
    <t>Asotin</t>
  </si>
  <si>
    <t>Chinook</t>
  </si>
  <si>
    <t>Pacific</t>
  </si>
  <si>
    <t>Ilwaco</t>
  </si>
  <si>
    <t>Long Beach</t>
  </si>
  <si>
    <t>Altoona</t>
  </si>
  <si>
    <t>Wahkiakum</t>
  </si>
  <si>
    <t>Rosburg</t>
  </si>
  <si>
    <t>Deep River</t>
  </si>
  <si>
    <t>Naselle</t>
  </si>
  <si>
    <t>Grays River</t>
  </si>
  <si>
    <t>Puget Island</t>
  </si>
  <si>
    <t>East Cathlamet</t>
  </si>
  <si>
    <t>Cathlamet</t>
  </si>
  <si>
    <t>Lower Elochoman</t>
  </si>
  <si>
    <t>Upper Elochoman</t>
  </si>
  <si>
    <t>Skamokawa Valley</t>
  </si>
  <si>
    <t>Beacon Hill</t>
  </si>
  <si>
    <t>Longview Heights</t>
  </si>
  <si>
    <t>Lexington</t>
  </si>
  <si>
    <t>Castle Rock</t>
  </si>
  <si>
    <t>Ryderwood</t>
  </si>
  <si>
    <t>Vader</t>
  </si>
  <si>
    <t>Lewis</t>
  </si>
  <si>
    <t>Toledo</t>
  </si>
  <si>
    <t>White Swan</t>
  </si>
  <si>
    <t>Yakima</t>
  </si>
  <si>
    <t>Toppenish</t>
  </si>
  <si>
    <t>Harrah</t>
  </si>
  <si>
    <t>Buena</t>
  </si>
  <si>
    <t>Wapato</t>
  </si>
  <si>
    <t>Mabton</t>
  </si>
  <si>
    <t>Sunnyside</t>
  </si>
  <si>
    <t>Outlook</t>
  </si>
  <si>
    <t>Granger</t>
  </si>
  <si>
    <t>Zillah</t>
  </si>
  <si>
    <t>Prosser</t>
  </si>
  <si>
    <t>Benton</t>
  </si>
  <si>
    <t>Grandview</t>
  </si>
  <si>
    <t>Benton City</t>
  </si>
  <si>
    <t>West Richland</t>
  </si>
  <si>
    <t>Finley</t>
  </si>
  <si>
    <t>Kennewick</t>
  </si>
  <si>
    <t>Burbank</t>
  </si>
  <si>
    <t>West Pasco</t>
  </si>
  <si>
    <t>Franklin</t>
  </si>
  <si>
    <t>Pasco</t>
  </si>
  <si>
    <t>Richland</t>
  </si>
  <si>
    <t>Waitsburg</t>
  </si>
  <si>
    <t>Prescott</t>
  </si>
  <si>
    <t>Dayton</t>
  </si>
  <si>
    <t>Columbia</t>
  </si>
  <si>
    <t>Clarkston Heights-Vineland</t>
  </si>
  <si>
    <t>West Clarkston-Highland</t>
  </si>
  <si>
    <t>Clarkston</t>
  </si>
  <si>
    <t>Ocean Park</t>
  </si>
  <si>
    <t>Bay Center</t>
  </si>
  <si>
    <t>Tokeland</t>
  </si>
  <si>
    <t>Lebam</t>
  </si>
  <si>
    <t>South Bend</t>
  </si>
  <si>
    <t>Willapa</t>
  </si>
  <si>
    <t>Raymond</t>
  </si>
  <si>
    <t>Pe Ell</t>
  </si>
  <si>
    <t>Winlock</t>
  </si>
  <si>
    <t>Napavine</t>
  </si>
  <si>
    <t>Chehalis</t>
  </si>
  <si>
    <t>Centralia</t>
  </si>
  <si>
    <t>Fords Prairie</t>
  </si>
  <si>
    <t>Onalaska</t>
  </si>
  <si>
    <t>Mossyrock</t>
  </si>
  <si>
    <t>Morton</t>
  </si>
  <si>
    <t>Alder</t>
  </si>
  <si>
    <t>Pierce</t>
  </si>
  <si>
    <t>Mineral</t>
  </si>
  <si>
    <t>Ashford</t>
  </si>
  <si>
    <t>Elbe</t>
  </si>
  <si>
    <t>Packwood</t>
  </si>
  <si>
    <t>Tampico</t>
  </si>
  <si>
    <t>Ahtanum</t>
  </si>
  <si>
    <t>Gleed</t>
  </si>
  <si>
    <t>Eschbach</t>
  </si>
  <si>
    <t>Cowiche</t>
  </si>
  <si>
    <t>Tieton</t>
  </si>
  <si>
    <t>Naches</t>
  </si>
  <si>
    <t>Donald</t>
  </si>
  <si>
    <t>Parker</t>
  </si>
  <si>
    <t>Union Gap</t>
  </si>
  <si>
    <t>Moxee</t>
  </si>
  <si>
    <t>Terrace Heights</t>
  </si>
  <si>
    <t>Selah</t>
  </si>
  <si>
    <t>Desert Aire</t>
  </si>
  <si>
    <t>Grant</t>
  </si>
  <si>
    <t>Mattawa</t>
  </si>
  <si>
    <t>Mesa</t>
  </si>
  <si>
    <t>Basin City</t>
  </si>
  <si>
    <t>Connell</t>
  </si>
  <si>
    <t>Hatton</t>
  </si>
  <si>
    <t>Adams</t>
  </si>
  <si>
    <t>Kahlotus</t>
  </si>
  <si>
    <t>Starbuck</t>
  </si>
  <si>
    <t>Washtucna</t>
  </si>
  <si>
    <t>Pomeroy</t>
  </si>
  <si>
    <t>Garfield</t>
  </si>
  <si>
    <t>Pataha</t>
  </si>
  <si>
    <t>Uniontown</t>
  </si>
  <si>
    <t>Whitman</t>
  </si>
  <si>
    <t>Colton</t>
  </si>
  <si>
    <t>Pullman</t>
  </si>
  <si>
    <t>Albion</t>
  </si>
  <si>
    <t>Ocean Shores</t>
  </si>
  <si>
    <t>Grays Harbor</t>
  </si>
  <si>
    <t>Oyehut</t>
  </si>
  <si>
    <t>Ocean City</t>
  </si>
  <si>
    <t>Grayland</t>
  </si>
  <si>
    <t>Cohassett Beach</t>
  </si>
  <si>
    <t>Westport</t>
  </si>
  <si>
    <t>Ocosta</t>
  </si>
  <si>
    <t>Markham</t>
  </si>
  <si>
    <t>Aberdeen</t>
  </si>
  <si>
    <t>Hoquiam</t>
  </si>
  <si>
    <t>Cosmopolis</t>
  </si>
  <si>
    <t>Central Park</t>
  </si>
  <si>
    <t>Montesano</t>
  </si>
  <si>
    <t>Brady</t>
  </si>
  <si>
    <t>Aberdeen Gardens</t>
  </si>
  <si>
    <t>Oakville</t>
  </si>
  <si>
    <t>Porter</t>
  </si>
  <si>
    <t>Malone</t>
  </si>
  <si>
    <t>Elma</t>
  </si>
  <si>
    <t>Satsop</t>
  </si>
  <si>
    <t>McCleary</t>
  </si>
  <si>
    <t>Grand Mound</t>
  </si>
  <si>
    <t>Thurston</t>
  </si>
  <si>
    <t>Bucoda</t>
  </si>
  <si>
    <t>Rochester</t>
  </si>
  <si>
    <t>Tenino</t>
  </si>
  <si>
    <t>Tumwater</t>
  </si>
  <si>
    <t>Olympia</t>
  </si>
  <si>
    <t>Rainier</t>
  </si>
  <si>
    <t>Yelm</t>
  </si>
  <si>
    <t>McKenna</t>
  </si>
  <si>
    <t>North Yelm</t>
  </si>
  <si>
    <t>Roy</t>
  </si>
  <si>
    <t>Nisqually Indian Community</t>
  </si>
  <si>
    <t>Lacey</t>
  </si>
  <si>
    <t>Tanglewilde</t>
  </si>
  <si>
    <t>Fort Lewis</t>
  </si>
  <si>
    <t>DuPont</t>
  </si>
  <si>
    <t>La Grande</t>
  </si>
  <si>
    <t>Eatonville</t>
  </si>
  <si>
    <t>Clear Lake</t>
  </si>
  <si>
    <t>Kapowsin</t>
  </si>
  <si>
    <t>South Creek</t>
  </si>
  <si>
    <t>Graham</t>
  </si>
  <si>
    <t>Elk Plain</t>
  </si>
  <si>
    <t>Frederickson</t>
  </si>
  <si>
    <t>Spanaway</t>
  </si>
  <si>
    <t>Orting</t>
  </si>
  <si>
    <t>Crocker</t>
  </si>
  <si>
    <t>Carbonado</t>
  </si>
  <si>
    <t>Wilkeson</t>
  </si>
  <si>
    <t>Nile</t>
  </si>
  <si>
    <t>Cliffdell</t>
  </si>
  <si>
    <t>Thorp</t>
  </si>
  <si>
    <t>Kittitas</t>
  </si>
  <si>
    <t>Ellensburg</t>
  </si>
  <si>
    <t>Vantage</t>
  </si>
  <si>
    <t>Sunland Estates</t>
  </si>
  <si>
    <t>Schwana</t>
  </si>
  <si>
    <t>Beverly</t>
  </si>
  <si>
    <t>George</t>
  </si>
  <si>
    <t>Royal City</t>
  </si>
  <si>
    <t>Marine View</t>
  </si>
  <si>
    <t>Othello</t>
  </si>
  <si>
    <t>Warden</t>
  </si>
  <si>
    <t>Lind</t>
  </si>
  <si>
    <t>LaCrosse</t>
  </si>
  <si>
    <t>Endicott</t>
  </si>
  <si>
    <t>St. John</t>
  </si>
  <si>
    <t>Colfax</t>
  </si>
  <si>
    <t>Palouse</t>
  </si>
  <si>
    <t>Steptoe</t>
  </si>
  <si>
    <t>Farmington</t>
  </si>
  <si>
    <t>Copalis Beach</t>
  </si>
  <si>
    <t>Pacific Beach</t>
  </si>
  <si>
    <t>Moclips</t>
  </si>
  <si>
    <t>Qui-nai-elt Village</t>
  </si>
  <si>
    <t>Santiago</t>
  </si>
  <si>
    <t>Taholah</t>
  </si>
  <si>
    <t>Humptulips</t>
  </si>
  <si>
    <t>Neilton</t>
  </si>
  <si>
    <t>Shelton</t>
  </si>
  <si>
    <t>Mason</t>
  </si>
  <si>
    <t>Skokomish</t>
  </si>
  <si>
    <t>Union</t>
  </si>
  <si>
    <t>Hoodsport</t>
  </si>
  <si>
    <t>North Fort Lewis</t>
  </si>
  <si>
    <t>Anderson Island</t>
  </si>
  <si>
    <t>Ketron Island</t>
  </si>
  <si>
    <t>Steilacoom</t>
  </si>
  <si>
    <t>Lakewood</t>
  </si>
  <si>
    <t>University Place</t>
  </si>
  <si>
    <t>Longbranch</t>
  </si>
  <si>
    <t>Fox Island</t>
  </si>
  <si>
    <t>Herron Island</t>
  </si>
  <si>
    <t>Home</t>
  </si>
  <si>
    <t>Wollochet</t>
  </si>
  <si>
    <t>Artondale</t>
  </si>
  <si>
    <t>Raft Island</t>
  </si>
  <si>
    <t>Grapeview</t>
  </si>
  <si>
    <t>Key Center</t>
  </si>
  <si>
    <t>Gig Harbor</t>
  </si>
  <si>
    <t>Rosedale</t>
  </si>
  <si>
    <t>Vaughn</t>
  </si>
  <si>
    <t>Canterwood</t>
  </si>
  <si>
    <t>Maplewood</t>
  </si>
  <si>
    <t>Allyn</t>
  </si>
  <si>
    <t>Stansberry Lake</t>
  </si>
  <si>
    <t>Wauna</t>
  </si>
  <si>
    <t>Purdy</t>
  </si>
  <si>
    <t>Burley</t>
  </si>
  <si>
    <t>Kitsap</t>
  </si>
  <si>
    <t>South Hill</t>
  </si>
  <si>
    <t>McChord AFB</t>
  </si>
  <si>
    <t>McMillin</t>
  </si>
  <si>
    <t>Parkland</t>
  </si>
  <si>
    <t>Clover Creek</t>
  </si>
  <si>
    <t>Summit View</t>
  </si>
  <si>
    <t>Summit</t>
  </si>
  <si>
    <t>Midland</t>
  </si>
  <si>
    <t>Puyallup</t>
  </si>
  <si>
    <t>Alderton</t>
  </si>
  <si>
    <t>Waller</t>
  </si>
  <si>
    <t>North Puyallup</t>
  </si>
  <si>
    <t>Sumner</t>
  </si>
  <si>
    <t>Fircrest</t>
  </si>
  <si>
    <t>Fife</t>
  </si>
  <si>
    <t>Edgewood</t>
  </si>
  <si>
    <t>Tacoma</t>
  </si>
  <si>
    <t>Milton</t>
  </si>
  <si>
    <t>Fife Heights</t>
  </si>
  <si>
    <t>King</t>
  </si>
  <si>
    <t>Lakeland South</t>
  </si>
  <si>
    <t>Algona</t>
  </si>
  <si>
    <t>Ruston</t>
  </si>
  <si>
    <t>Browns Point</t>
  </si>
  <si>
    <t>Federal Way</t>
  </si>
  <si>
    <t>Auburn</t>
  </si>
  <si>
    <t>Dash Point</t>
  </si>
  <si>
    <t>Lakeland North</t>
  </si>
  <si>
    <t>Des Moines</t>
  </si>
  <si>
    <t>Kent</t>
  </si>
  <si>
    <t>Vashon</t>
  </si>
  <si>
    <t>Normandy Park</t>
  </si>
  <si>
    <t>Tehaleh</t>
  </si>
  <si>
    <t>South Prairie</t>
  </si>
  <si>
    <t>Prairie Ridge</t>
  </si>
  <si>
    <t>Prairie Heights</t>
  </si>
  <si>
    <t>Buckley</t>
  </si>
  <si>
    <t>Bonney Lake</t>
  </si>
  <si>
    <t>Enumclaw</t>
  </si>
  <si>
    <t>Lake Tapps</t>
  </si>
  <si>
    <t>Lake Holm</t>
  </si>
  <si>
    <t>Black Diamond</t>
  </si>
  <si>
    <t>Lake Morton-Berrydale</t>
  </si>
  <si>
    <t>Ravensdale</t>
  </si>
  <si>
    <t>Covington</t>
  </si>
  <si>
    <t>Maple Valley</t>
  </si>
  <si>
    <t>Shadow Lake</t>
  </si>
  <si>
    <t>Hobart</t>
  </si>
  <si>
    <t>Greenwater</t>
  </si>
  <si>
    <t>Snoqualmie Pass</t>
  </si>
  <si>
    <t>South Cle Elum</t>
  </si>
  <si>
    <t>Cle Elum</t>
  </si>
  <si>
    <t>Ronald</t>
  </si>
  <si>
    <t>Easton</t>
  </si>
  <si>
    <t>Roslyn</t>
  </si>
  <si>
    <t>South Wenatchee</t>
  </si>
  <si>
    <t>Chelan</t>
  </si>
  <si>
    <t>East Wenatchee</t>
  </si>
  <si>
    <t>Douglas</t>
  </si>
  <si>
    <t>Crescent Bar</t>
  </si>
  <si>
    <t>Rock Island</t>
  </si>
  <si>
    <t>Quincy</t>
  </si>
  <si>
    <t>Cascade Valley</t>
  </si>
  <si>
    <t>Moses Lake North</t>
  </si>
  <si>
    <t>Ephrata</t>
  </si>
  <si>
    <t>Lakeview</t>
  </si>
  <si>
    <t>Soap Lake</t>
  </si>
  <si>
    <t>Moses Lake</t>
  </si>
  <si>
    <t>Wheeler</t>
  </si>
  <si>
    <t>Wilson Creek</t>
  </si>
  <si>
    <t>Odessa</t>
  </si>
  <si>
    <t>Lincoln</t>
  </si>
  <si>
    <t>Krupp</t>
  </si>
  <si>
    <t>Ritzville</t>
  </si>
  <si>
    <t>Lamont</t>
  </si>
  <si>
    <t>Sprague</t>
  </si>
  <si>
    <t>Malden</t>
  </si>
  <si>
    <t>Oakesdale</t>
  </si>
  <si>
    <t>Tekoa</t>
  </si>
  <si>
    <t>Rosalia</t>
  </si>
  <si>
    <t>Latah</t>
  </si>
  <si>
    <t>Spokane</t>
  </si>
  <si>
    <t>Waverly</t>
  </si>
  <si>
    <t>Fairfield</t>
  </si>
  <si>
    <t>Spangle</t>
  </si>
  <si>
    <t>Queets</t>
  </si>
  <si>
    <t>Amanda Park</t>
  </si>
  <si>
    <t>Belfair</t>
  </si>
  <si>
    <t>Brinnon</t>
  </si>
  <si>
    <t>Jefferson</t>
  </si>
  <si>
    <t>Bethel</t>
  </si>
  <si>
    <t>Port Orchard</t>
  </si>
  <si>
    <t>East Port Orchard</t>
  </si>
  <si>
    <t>Southworth</t>
  </si>
  <si>
    <t>Gorst</t>
  </si>
  <si>
    <t>Parkwood</t>
  </si>
  <si>
    <t>Bremerton</t>
  </si>
  <si>
    <t>Navy Yard City</t>
  </si>
  <si>
    <t>Manchester</t>
  </si>
  <si>
    <t>Kitsap Lake</t>
  </si>
  <si>
    <t>Rocky Point</t>
  </si>
  <si>
    <t>Enetai</t>
  </si>
  <si>
    <t>Erlands Point</t>
  </si>
  <si>
    <t>Tracyton</t>
  </si>
  <si>
    <t>Chico</t>
  </si>
  <si>
    <t>Seabeck</t>
  </si>
  <si>
    <t>Bainbridge Island</t>
  </si>
  <si>
    <t>Silverdale</t>
  </si>
  <si>
    <t>Keyport</t>
  </si>
  <si>
    <t>Bangor Base</t>
  </si>
  <si>
    <t>Suquamish</t>
  </si>
  <si>
    <t>Poulsbo</t>
  </si>
  <si>
    <t>SeaTac</t>
  </si>
  <si>
    <t>Burien</t>
  </si>
  <si>
    <t>Tukwila</t>
  </si>
  <si>
    <t>Bryn Mawr-Skyway</t>
  </si>
  <si>
    <t>White Center</t>
  </si>
  <si>
    <t>Boulevard Park</t>
  </si>
  <si>
    <t>Mercer Island</t>
  </si>
  <si>
    <t>Beaux Arts Village</t>
  </si>
  <si>
    <t>Seattle</t>
  </si>
  <si>
    <t>Medina</t>
  </si>
  <si>
    <t>Clyde Hill</t>
  </si>
  <si>
    <t>Hunts Point</t>
  </si>
  <si>
    <t>Yarrow Point</t>
  </si>
  <si>
    <t>Kirkland</t>
  </si>
  <si>
    <t>Indianola</t>
  </si>
  <si>
    <t>Shoreline</t>
  </si>
  <si>
    <t>Kenmore</t>
  </si>
  <si>
    <t>Maple Heights-Lake Desire</t>
  </si>
  <si>
    <t>Fairwood</t>
  </si>
  <si>
    <t>Mirrormont</t>
  </si>
  <si>
    <t>East Renton Highlands</t>
  </si>
  <si>
    <t>Renton</t>
  </si>
  <si>
    <t>Newcastle</t>
  </si>
  <si>
    <t>Issaquah</t>
  </si>
  <si>
    <t>Fall City</t>
  </si>
  <si>
    <t>Bellevue</t>
  </si>
  <si>
    <t>Sammamish</t>
  </si>
  <si>
    <t>Ames Lake</t>
  </si>
  <si>
    <t>Carnation</t>
  </si>
  <si>
    <t>Redmond</t>
  </si>
  <si>
    <t>Union Hill-Novelty Hill</t>
  </si>
  <si>
    <t>Lake Marcel-Stillwater</t>
  </si>
  <si>
    <t>Duvall</t>
  </si>
  <si>
    <t>Cottage Lake</t>
  </si>
  <si>
    <t>Wilderness Rim</t>
  </si>
  <si>
    <t>Riverbend</t>
  </si>
  <si>
    <t>North Bend</t>
  </si>
  <si>
    <t>Riverpoint</t>
  </si>
  <si>
    <t>Snoqualmie</t>
  </si>
  <si>
    <t>Skykomish</t>
  </si>
  <si>
    <t>Leavenworth</t>
  </si>
  <si>
    <t>Wenatchee</t>
  </si>
  <si>
    <t>Sunnyslope</t>
  </si>
  <si>
    <t>Cashmere</t>
  </si>
  <si>
    <t>Waterville</t>
  </si>
  <si>
    <t>Entiat</t>
  </si>
  <si>
    <t>Coulee City</t>
  </si>
  <si>
    <t>Banks Lake South</t>
  </si>
  <si>
    <t>Hartline</t>
  </si>
  <si>
    <t>Almira</t>
  </si>
  <si>
    <t>Harrington</t>
  </si>
  <si>
    <t>Davenport</t>
  </si>
  <si>
    <t>Reardan</t>
  </si>
  <si>
    <t>Cheney</t>
  </si>
  <si>
    <t>Four Lakes</t>
  </si>
  <si>
    <t>Medical Lake</t>
  </si>
  <si>
    <t>Fairchild AFB</t>
  </si>
  <si>
    <t>Airway Heights</t>
  </si>
  <si>
    <t>Town and Country</t>
  </si>
  <si>
    <t>Country Homes</t>
  </si>
  <si>
    <t>Rockford</t>
  </si>
  <si>
    <t>Spokane Valley</t>
  </si>
  <si>
    <t>Liberty Lake</t>
  </si>
  <si>
    <t>Millwood</t>
  </si>
  <si>
    <t>Otis Orchards-East Farms</t>
  </si>
  <si>
    <t>Forks</t>
  </si>
  <si>
    <t>Clallam</t>
  </si>
  <si>
    <t>Quilcene</t>
  </si>
  <si>
    <t>Blyn</t>
  </si>
  <si>
    <t>Bell Hill</t>
  </si>
  <si>
    <t>River Road</t>
  </si>
  <si>
    <t>Sequim</t>
  </si>
  <si>
    <t>Lofall</t>
  </si>
  <si>
    <t>Port Gamble Tribal Community</t>
  </si>
  <si>
    <t>Hansville</t>
  </si>
  <si>
    <t>Port Ludlow</t>
  </si>
  <si>
    <t>Freeland</t>
  </si>
  <si>
    <t>Island</t>
  </si>
  <si>
    <t>Port Hadlock-Irondale</t>
  </si>
  <si>
    <t>Marrowstone</t>
  </si>
  <si>
    <t>Lake Forest Park</t>
  </si>
  <si>
    <t>Bothell</t>
  </si>
  <si>
    <t>Kingston</t>
  </si>
  <si>
    <t>Woodway</t>
  </si>
  <si>
    <t>Snohomish</t>
  </si>
  <si>
    <t>Esperance</t>
  </si>
  <si>
    <t>Mountlake Terrace</t>
  </si>
  <si>
    <t>Brier</t>
  </si>
  <si>
    <t>Edmonds</t>
  </si>
  <si>
    <t>Bothell West</t>
  </si>
  <si>
    <t>Alderwood Manor</t>
  </si>
  <si>
    <t>Lynnwood</t>
  </si>
  <si>
    <t>Larch Way</t>
  </si>
  <si>
    <t>Martha Lake</t>
  </si>
  <si>
    <t>Meadowdale</t>
  </si>
  <si>
    <t>North Lynnwood</t>
  </si>
  <si>
    <t>Mill Creek</t>
  </si>
  <si>
    <t>Picnic Point</t>
  </si>
  <si>
    <t>Lake Stickney</t>
  </si>
  <si>
    <t>Mukilteo</t>
  </si>
  <si>
    <t>Clinton</t>
  </si>
  <si>
    <t>Hat Island</t>
  </si>
  <si>
    <t>Langley</t>
  </si>
  <si>
    <t>Woodinville</t>
  </si>
  <si>
    <t>Maltby</t>
  </si>
  <si>
    <t>High Bridge</t>
  </si>
  <si>
    <t>Bothell East</t>
  </si>
  <si>
    <t>Clearview</t>
  </si>
  <si>
    <t>Mill Creek East</t>
  </si>
  <si>
    <t>Cathcart</t>
  </si>
  <si>
    <t>Monroe</t>
  </si>
  <si>
    <t>Silver Firs</t>
  </si>
  <si>
    <t>Monroe North</t>
  </si>
  <si>
    <t>Woods Creek</t>
  </si>
  <si>
    <t>Eastmont</t>
  </si>
  <si>
    <t>Chain Lake</t>
  </si>
  <si>
    <t>Fobes Hill</t>
  </si>
  <si>
    <t>Three Lakes</t>
  </si>
  <si>
    <t>Everett</t>
  </si>
  <si>
    <t>Bunk Foss</t>
  </si>
  <si>
    <t>Cavalero</t>
  </si>
  <si>
    <t>Machias</t>
  </si>
  <si>
    <t>Lake Roesiger</t>
  </si>
  <si>
    <t>Lake Stevens</t>
  </si>
  <si>
    <t>Lake Bosworth</t>
  </si>
  <si>
    <t>Lake Cassidy</t>
  </si>
  <si>
    <t>Lochsloy</t>
  </si>
  <si>
    <t>Gold Bar</t>
  </si>
  <si>
    <t>May Creek</t>
  </si>
  <si>
    <t>Startup</t>
  </si>
  <si>
    <t>Sultan</t>
  </si>
  <si>
    <t>North Sultan</t>
  </si>
  <si>
    <t>Baring</t>
  </si>
  <si>
    <t>Index</t>
  </si>
  <si>
    <t>Chelan Falls</t>
  </si>
  <si>
    <t>Manson</t>
  </si>
  <si>
    <t>Mansfield</t>
  </si>
  <si>
    <t>Bridgeport</t>
  </si>
  <si>
    <t>Pateros</t>
  </si>
  <si>
    <t>Okanogan</t>
  </si>
  <si>
    <t>Electric City</t>
  </si>
  <si>
    <t>Grand Coulee</t>
  </si>
  <si>
    <t>Wilbur</t>
  </si>
  <si>
    <t>Coulee Dam</t>
  </si>
  <si>
    <t>Elmer City</t>
  </si>
  <si>
    <t>Creston</t>
  </si>
  <si>
    <t>Springdale</t>
  </si>
  <si>
    <t>Stevens</t>
  </si>
  <si>
    <t>Suncrest</t>
  </si>
  <si>
    <t>Deer Park</t>
  </si>
  <si>
    <t>Clayton</t>
  </si>
  <si>
    <t>Loon Lake</t>
  </si>
  <si>
    <t>Mead</t>
  </si>
  <si>
    <t>Green Bluff</t>
  </si>
  <si>
    <t>Neah Bay</t>
  </si>
  <si>
    <t>Clallam Bay</t>
  </si>
  <si>
    <t>Sekiu</t>
  </si>
  <si>
    <t>Carlsborg</t>
  </si>
  <si>
    <t>Port Angeles East</t>
  </si>
  <si>
    <t>Port Angeles</t>
  </si>
  <si>
    <t>Jamestown</t>
  </si>
  <si>
    <t>Port Townsend</t>
  </si>
  <si>
    <t>Coupeville</t>
  </si>
  <si>
    <t>Oak Harbor</t>
  </si>
  <si>
    <t>Whidbey Island Station</t>
  </si>
  <si>
    <t>Lake Goodwin</t>
  </si>
  <si>
    <t>Kayak Point</t>
  </si>
  <si>
    <t>Warm Beach</t>
  </si>
  <si>
    <t>Camano</t>
  </si>
  <si>
    <t>Silvana</t>
  </si>
  <si>
    <t>Sunday Lake</t>
  </si>
  <si>
    <t>Stanwood</t>
  </si>
  <si>
    <t>Northwest Stanwood</t>
  </si>
  <si>
    <t>Lake Ketchum</t>
  </si>
  <si>
    <t>Lake McMurray</t>
  </si>
  <si>
    <t>Skagit</t>
  </si>
  <si>
    <t>Conway</t>
  </si>
  <si>
    <t>Big Lake</t>
  </si>
  <si>
    <t>La Conner</t>
  </si>
  <si>
    <t>Marysville</t>
  </si>
  <si>
    <t>Granite Falls</t>
  </si>
  <si>
    <t>Sisco Heights</t>
  </si>
  <si>
    <t>Canyon Creek</t>
  </si>
  <si>
    <t>Arlington</t>
  </si>
  <si>
    <t>Arlington Heights</t>
  </si>
  <si>
    <t>Bryant</t>
  </si>
  <si>
    <t>Oso</t>
  </si>
  <si>
    <t>Lake Cavanaugh</t>
  </si>
  <si>
    <t>Verlot</t>
  </si>
  <si>
    <t>Darrington</t>
  </si>
  <si>
    <t>Swede Heaven</t>
  </si>
  <si>
    <t>Methow</t>
  </si>
  <si>
    <t>Twisp</t>
  </si>
  <si>
    <t>Brewster</t>
  </si>
  <si>
    <t>Malott</t>
  </si>
  <si>
    <t>Nespelem Community</t>
  </si>
  <si>
    <t>Disautel</t>
  </si>
  <si>
    <t>Keller</t>
  </si>
  <si>
    <t>Ferry</t>
  </si>
  <si>
    <t>Nespelem</t>
  </si>
  <si>
    <t>Twin Lakes</t>
  </si>
  <si>
    <t>Inchelium</t>
  </si>
  <si>
    <t>Valley</t>
  </si>
  <si>
    <t>Chewelah</t>
  </si>
  <si>
    <t>Addy</t>
  </si>
  <si>
    <t>Cusick</t>
  </si>
  <si>
    <t>Pend Oreille</t>
  </si>
  <si>
    <t>Newport</t>
  </si>
  <si>
    <t>Friday Harbor</t>
  </si>
  <si>
    <t>San Juan</t>
  </si>
  <si>
    <t>Roche Harbor</t>
  </si>
  <si>
    <t>Anacortes</t>
  </si>
  <si>
    <t>Mount Vernon</t>
  </si>
  <si>
    <t>Burlington</t>
  </si>
  <si>
    <t>Bay View</t>
  </si>
  <si>
    <t>Sedro-Woolley</t>
  </si>
  <si>
    <t>Edison</t>
  </si>
  <si>
    <t>Bow</t>
  </si>
  <si>
    <t>Alger</t>
  </si>
  <si>
    <t>Acme</t>
  </si>
  <si>
    <t>Whatcom</t>
  </si>
  <si>
    <t>Lyman</t>
  </si>
  <si>
    <t>Hamilton</t>
  </si>
  <si>
    <t>Rockport</t>
  </si>
  <si>
    <t>Concrete</t>
  </si>
  <si>
    <t>Marblemount</t>
  </si>
  <si>
    <t>Winthrop</t>
  </si>
  <si>
    <t>Conconully</t>
  </si>
  <si>
    <t>Omak</t>
  </si>
  <si>
    <t>North Omak</t>
  </si>
  <si>
    <t>Riverside</t>
  </si>
  <si>
    <t>Tonasket</t>
  </si>
  <si>
    <t>Republic</t>
  </si>
  <si>
    <t>Pine Grove</t>
  </si>
  <si>
    <t>Torboy</t>
  </si>
  <si>
    <t>Kettle Falls</t>
  </si>
  <si>
    <t>Marcus</t>
  </si>
  <si>
    <t>Colville</t>
  </si>
  <si>
    <t>Point Roberts</t>
  </si>
  <si>
    <t>Marietta-Alderwood</t>
  </si>
  <si>
    <t>Ferndale</t>
  </si>
  <si>
    <t>Custer</t>
  </si>
  <si>
    <t>Birch Bay</t>
  </si>
  <si>
    <t>Blaine</t>
  </si>
  <si>
    <t>Sudden Valley</t>
  </si>
  <si>
    <t>Geneva</t>
  </si>
  <si>
    <t>Bellingham</t>
  </si>
  <si>
    <t>Deming</t>
  </si>
  <si>
    <t>Everson</t>
  </si>
  <si>
    <t>Nooksack</t>
  </si>
  <si>
    <t>Lynden</t>
  </si>
  <si>
    <t>Sumas</t>
  </si>
  <si>
    <t>Glacier</t>
  </si>
  <si>
    <t>Kendall</t>
  </si>
  <si>
    <t>Maple Falls</t>
  </si>
  <si>
    <t>Peaceful Valley</t>
  </si>
  <si>
    <t>Loomis</t>
  </si>
  <si>
    <t>Oroville</t>
  </si>
  <si>
    <t>Curlew Lake</t>
  </si>
  <si>
    <t>Malo</t>
  </si>
  <si>
    <t>Curlew</t>
  </si>
  <si>
    <t>Danville</t>
  </si>
  <si>
    <t>Boyds</t>
  </si>
  <si>
    <t>Barstow</t>
  </si>
  <si>
    <t>Orient</t>
  </si>
  <si>
    <t>Laurier</t>
  </si>
  <si>
    <t>Northport</t>
  </si>
  <si>
    <t>Ione</t>
  </si>
  <si>
    <t>Metaline</t>
  </si>
  <si>
    <t>Metaline Falls</t>
  </si>
  <si>
    <t>from https://simplemaps.com/data/us-cities</t>
  </si>
  <si>
    <t>- ENCODING: Builds a "Locations Code" from a pair of GPS coordinates</t>
  </si>
  <si>
    <t>- BULK: Builds "Locations Code" for all cities in Washington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</si>
</sst>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0000_-;\-* #,##0.0000000_-;_-* &quot;-&quot;??_-;_-@_-"/>
    <numFmt numFmtId="165" formatCode="_-* #,##0.0000_-;\-* #,##0.0000_-;_-* &quot;-&quot;??_-;_-@_-"/>
  </numFmts>
  <fonts count="13" x14ac:knownFonts="1">
    <font>
      <sz val="10"/>
      <color theme="1"/>
      <name val="Consolas"/>
      <family val="2"/>
    </font>
    <font>
      <b/>
      <sz val="11"/>
      <color theme="3"/>
      <name val="Consolas"/>
      <family val="2"/>
    </font>
    <font>
      <b/>
      <sz val="10"/>
      <color rgb="FF3F3F3F"/>
      <name val="Consolas"/>
      <family val="2"/>
    </font>
    <font>
      <sz val="10"/>
      <color theme="1"/>
      <name val="Consolas"/>
      <family val="2"/>
    </font>
    <font>
      <sz val="10"/>
      <color theme="0"/>
      <name val="Consolas"/>
      <family val="2"/>
    </font>
    <font>
      <b/>
      <sz val="14"/>
      <color theme="0"/>
      <name val="Consolas"/>
      <family val="3"/>
    </font>
    <font>
      <i/>
      <sz val="8"/>
      <color theme="1"/>
      <name val="Tahoma"/>
      <family val="2"/>
    </font>
    <font>
      <u/>
      <sz val="10"/>
      <color theme="10"/>
      <name val="Consolas"/>
      <family val="2"/>
    </font>
    <font>
      <sz val="16"/>
      <color theme="0"/>
      <name val="Segoe UI"/>
      <family val="2"/>
    </font>
    <font>
      <sz val="12"/>
      <color theme="0"/>
      <name val="Segoe UI"/>
      <family val="2"/>
    </font>
    <font>
      <sz val="8"/>
      <color theme="1"/>
      <name val="Lexend Light"/>
    </font>
    <font>
      <b/>
      <sz val="8"/>
      <color theme="1"/>
      <name val="Lexend Light"/>
    </font>
    <font>
      <sz val="9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43" fontId="3" fillId="0" borderId="0" applyFont="0" applyFill="0" applyBorder="0" applyAlignment="0" applyProtection="0"/>
    <xf numFmtId="0" fontId="3" fillId="3" borderId="3" applyNumberFormat="0" applyFont="0" applyAlignment="0" applyProtection="0"/>
    <xf numFmtId="0" fontId="4" fillId="4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1" xfId="1"/>
    <xf numFmtId="0" fontId="2" fillId="2" borderId="2" xfId="2"/>
    <xf numFmtId="0" fontId="0" fillId="0" borderId="0" xfId="0" applyAlignment="1">
      <alignment vertical="center"/>
    </xf>
    <xf numFmtId="0" fontId="6" fillId="3" borderId="3" xfId="4" applyFont="1" applyAlignment="1">
      <alignment horizontal="center" vertical="center" wrapText="1"/>
    </xf>
    <xf numFmtId="0" fontId="2" fillId="2" borderId="2" xfId="2" applyAlignment="1">
      <alignment horizontal="center"/>
    </xf>
    <xf numFmtId="0" fontId="4" fillId="5" borderId="0" xfId="0" applyFont="1" applyFill="1"/>
    <xf numFmtId="0" fontId="9" fillId="5" borderId="0" xfId="0" applyFont="1" applyFill="1" applyAlignment="1">
      <alignment horizontal="left"/>
    </xf>
    <xf numFmtId="0" fontId="8" fillId="5" borderId="0" xfId="0" quotePrefix="1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7" fillId="6" borderId="0" xfId="6" applyFill="1" applyAlignment="1">
      <alignment horizontal="center"/>
    </xf>
    <xf numFmtId="0" fontId="4" fillId="5" borderId="0" xfId="0" applyFont="1" applyFill="1" applyAlignment="1">
      <alignment horizontal="center"/>
    </xf>
    <xf numFmtId="0" fontId="8" fillId="5" borderId="0" xfId="0" applyFont="1" applyFill="1" applyAlignment="1">
      <alignment horizontal="left"/>
    </xf>
    <xf numFmtId="0" fontId="5" fillId="4" borderId="4" xfId="5" applyFont="1" applyBorder="1" applyAlignment="1">
      <alignment horizontal="center" vertical="center"/>
    </xf>
    <xf numFmtId="0" fontId="5" fillId="4" borderId="5" xfId="5" applyFont="1" applyBorder="1" applyAlignment="1">
      <alignment horizontal="center" vertical="center"/>
    </xf>
    <xf numFmtId="0" fontId="5" fillId="4" borderId="6" xfId="5" applyFont="1" applyBorder="1" applyAlignment="1">
      <alignment horizontal="center" vertical="center"/>
    </xf>
    <xf numFmtId="0" fontId="10" fillId="0" borderId="0" xfId="0" applyFont="1"/>
    <xf numFmtId="165" fontId="10" fillId="0" borderId="0" xfId="3" applyNumberFormat="1" applyFont="1"/>
    <xf numFmtId="164" fontId="10" fillId="0" borderId="0" xfId="3" applyNumberFormat="1" applyFont="1"/>
    <xf numFmtId="164" fontId="11" fillId="3" borderId="3" xfId="4" applyNumberFormat="1" applyFont="1"/>
    <xf numFmtId="0" fontId="10" fillId="3" borderId="3" xfId="4" applyFont="1"/>
    <xf numFmtId="165" fontId="10" fillId="3" borderId="3" xfId="4" applyNumberFormat="1" applyFont="1"/>
    <xf numFmtId="0" fontId="10" fillId="3" borderId="3" xfId="4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7">
    <cellStyle name="Collegamento ipertestuale" xfId="6" builtinId="8"/>
    <cellStyle name="Colore 6" xfId="5" builtinId="49"/>
    <cellStyle name="Migliaia" xfId="3" builtinId="3"/>
    <cellStyle name="Normale" xfId="0" builtinId="0"/>
    <cellStyle name="Nota" xfId="4" builtinId="10"/>
    <cellStyle name="Output" xfId="2" builtinId="21"/>
    <cellStyle name="Titolo 3" xfId="1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15241</xdr:colOff>
      <xdr:row>1</xdr:row>
      <xdr:rowOff>38100</xdr:rowOff>
    </xdr:from>
    <xdr:to>
      <xdr:col>1</xdr:col>
      <xdr:colOff>1005841</xdr:colOff>
      <xdr:row>1</xdr:row>
      <xdr:rowOff>643939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B75FB5F7-3AE3-7CE6-D642-F1CA1BC76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1" y="205740"/>
          <a:ext cx="2392680" cy="6058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15240</xdr:rowOff>
        </xdr:from>
        <xdr:to>
          <xdr:col>3</xdr:col>
          <xdr:colOff>541020</xdr:colOff>
          <xdr:row>3</xdr:row>
          <xdr:rowOff>30480</xdr:rowOff>
        </xdr:to>
        <xdr:sp macro="" textlink="">
          <xdr:nvSpPr>
            <xdr:cNvPr id="2049" name="cmdlink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0</xdr:row>
          <xdr:rowOff>114300</xdr:rowOff>
        </xdr:from>
        <xdr:to>
          <xdr:col>5</xdr:col>
          <xdr:colOff>510540</xdr:colOff>
          <xdr:row>2</xdr:row>
          <xdr:rowOff>129540</xdr:rowOff>
        </xdr:to>
        <xdr:sp macro="" textlink="">
          <xdr:nvSpPr>
            <xdr:cNvPr id="2050" name="RemoveLink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locationscod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F49D1-A00F-4184-B0A2-740925A2FA23}">
  <sheetPr codeName="Foglio3"/>
  <dimension ref="D3:P19"/>
  <sheetViews>
    <sheetView tabSelected="1" workbookViewId="0">
      <selection activeCell="R6" sqref="R6"/>
    </sheetView>
  </sheetViews>
  <sheetFormatPr defaultRowHeight="13.2" x14ac:dyDescent="0.25"/>
  <cols>
    <col min="5" max="5" width="13" customWidth="1"/>
  </cols>
  <sheetData>
    <row r="3" spans="4:16" x14ac:dyDescent="0.25"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4:16" x14ac:dyDescent="0.25"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4:16" x14ac:dyDescent="0.25"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4:16" ht="24.6" x14ac:dyDescent="0.55000000000000004">
      <c r="D6" s="6"/>
      <c r="E6" s="12" t="s">
        <v>8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4:16" x14ac:dyDescent="0.25"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4:16" x14ac:dyDescent="0.25"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4:16" ht="24.6" x14ac:dyDescent="0.55000000000000004">
      <c r="D9" s="6"/>
      <c r="E9" s="8" t="s">
        <v>684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4:16" x14ac:dyDescent="0.25"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4:16" ht="24.6" x14ac:dyDescent="0.55000000000000004">
      <c r="D11" s="6"/>
      <c r="E11" s="8" t="s">
        <v>9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</row>
    <row r="12" spans="4:16" x14ac:dyDescent="0.25"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4:16" ht="24.6" x14ac:dyDescent="0.55000000000000004">
      <c r="D13" s="6"/>
      <c r="E13" s="8" t="s">
        <v>685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</row>
    <row r="14" spans="4:16" x14ac:dyDescent="0.25"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4:16" ht="19.2" x14ac:dyDescent="0.45">
      <c r="D15" s="6"/>
      <c r="E15" s="9" t="s">
        <v>10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4:16" ht="19.2" x14ac:dyDescent="0.45">
      <c r="D16" s="6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4:16" ht="24.6" customHeight="1" x14ac:dyDescent="0.25">
      <c r="D17" s="6"/>
      <c r="E17" s="10" t="s">
        <v>11</v>
      </c>
      <c r="F17" s="10"/>
      <c r="G17" s="10"/>
      <c r="H17" s="10"/>
      <c r="I17" s="6"/>
      <c r="J17" s="6"/>
      <c r="K17" s="6"/>
      <c r="L17" s="6"/>
      <c r="M17" s="6"/>
      <c r="N17" s="6"/>
      <c r="O17" s="6"/>
      <c r="P17" s="6"/>
    </row>
    <row r="18" spans="4:16" x14ac:dyDescent="0.25">
      <c r="D18" s="6"/>
      <c r="E18" s="6"/>
      <c r="F18" s="6"/>
      <c r="G18" s="6"/>
      <c r="H18" s="6"/>
      <c r="I18" s="6"/>
      <c r="J18" s="6"/>
      <c r="K18" s="6"/>
      <c r="L18" s="6"/>
      <c r="M18" s="6"/>
      <c r="N18" s="6" t="s">
        <v>12</v>
      </c>
      <c r="O18" s="6"/>
      <c r="P18" s="6"/>
    </row>
    <row r="19" spans="4:16" x14ac:dyDescent="0.25"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</sheetData>
  <mergeCells count="9">
    <mergeCell ref="E11:P11"/>
    <mergeCell ref="E15:P15"/>
    <mergeCell ref="E17:H17"/>
    <mergeCell ref="D3:P3"/>
    <mergeCell ref="D4:P4"/>
    <mergeCell ref="D5:P5"/>
    <mergeCell ref="E6:P6"/>
    <mergeCell ref="E9:P9"/>
    <mergeCell ref="E13:P13"/>
  </mergeCells>
  <hyperlinks>
    <hyperlink ref="E17" r:id="rId1" xr:uid="{BC9C261E-F8C2-4530-A0C4-2CD03C8CF4E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1C37A-A6BD-4A71-A4E3-2F44AE6465A1}">
  <sheetPr codeName="Foglio1"/>
  <dimension ref="A2:F5"/>
  <sheetViews>
    <sheetView workbookViewId="0">
      <selection activeCell="I13" sqref="I13"/>
    </sheetView>
  </sheetViews>
  <sheetFormatPr defaultRowHeight="13.2" x14ac:dyDescent="0.25"/>
  <cols>
    <col min="1" max="1" width="20.44140625" customWidth="1"/>
    <col min="2" max="6" width="15.77734375" customWidth="1"/>
  </cols>
  <sheetData>
    <row r="2" spans="1:6" ht="58.8" customHeight="1" x14ac:dyDescent="0.25">
      <c r="A2" s="3"/>
      <c r="B2" s="3"/>
      <c r="C2" s="4" t="s">
        <v>2</v>
      </c>
      <c r="D2" s="4" t="s">
        <v>3</v>
      </c>
      <c r="E2" s="4" t="s">
        <v>4</v>
      </c>
      <c r="F2" s="4" t="s">
        <v>5</v>
      </c>
    </row>
    <row r="3" spans="1:6" ht="15" thickBot="1" x14ac:dyDescent="0.35">
      <c r="A3" s="1" t="s">
        <v>0</v>
      </c>
      <c r="B3" s="2">
        <v>40.688889000000003</v>
      </c>
      <c r="C3" s="2">
        <f>+B3+90</f>
        <v>130.68888900000002</v>
      </c>
      <c r="D3" s="2">
        <f>ROUND(C3*3600,0)</f>
        <v>470480</v>
      </c>
      <c r="E3" s="5" t="str">
        <f>ConvertToBase34(D3)</f>
        <v>DYZO</v>
      </c>
      <c r="F3" s="13" t="str">
        <f>Interleave(E3,E5)</f>
        <v>DBYP-ZYOV</v>
      </c>
    </row>
    <row r="4" spans="1:6" ht="5.4" customHeight="1" x14ac:dyDescent="0.25">
      <c r="F4" s="14"/>
    </row>
    <row r="5" spans="1:6" ht="15" thickBot="1" x14ac:dyDescent="0.35">
      <c r="A5" s="1" t="s">
        <v>1</v>
      </c>
      <c r="B5" s="2">
        <v>-74.044167000000002</v>
      </c>
      <c r="C5" s="2">
        <f>B5+180</f>
        <v>105.955833</v>
      </c>
      <c r="D5" s="2">
        <f>ROUND(C5*3600,0)</f>
        <v>381441</v>
      </c>
      <c r="E5" s="5" t="str">
        <f>ConvertToBase34(D5)</f>
        <v>BPYV</v>
      </c>
      <c r="F5" s="15"/>
    </row>
  </sheetData>
  <mergeCells count="1">
    <mergeCell ref="F3:F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B75DF-C2A7-4CCE-BAE9-D8E5A16E384C}">
  <sheetPr codeName="Foglio2"/>
  <dimension ref="A6:Q39"/>
  <sheetViews>
    <sheetView workbookViewId="0">
      <selection activeCell="F12" sqref="F12"/>
    </sheetView>
  </sheetViews>
  <sheetFormatPr defaultRowHeight="15" x14ac:dyDescent="0.45"/>
  <cols>
    <col min="1" max="1" width="10" style="16" bestFit="1" customWidth="1"/>
    <col min="2" max="2" width="11.21875" style="18" customWidth="1"/>
    <col min="3" max="17" width="11.77734375" style="16" customWidth="1"/>
    <col min="18" max="16384" width="8.88671875" style="16"/>
  </cols>
  <sheetData>
    <row r="6" spans="1:17" x14ac:dyDescent="0.45">
      <c r="B6" s="18" t="s">
        <v>6</v>
      </c>
      <c r="C6" s="16" t="str">
        <f>Convert_Degree(C7,1)</f>
        <v>40°41'20,0" N</v>
      </c>
      <c r="D6" s="16" t="str">
        <f t="shared" ref="D6:L6" si="0">Convert_Degree(D7,1)</f>
        <v>40°41'21,0" N</v>
      </c>
      <c r="E6" s="16" t="str">
        <f t="shared" si="0"/>
        <v>40°41'22,0" N</v>
      </c>
      <c r="F6" s="16" t="str">
        <f t="shared" si="0"/>
        <v>40°41'23,0" N</v>
      </c>
      <c r="G6" s="16" t="str">
        <f t="shared" si="0"/>
        <v>40°41'24,0" N</v>
      </c>
      <c r="H6" s="16" t="str">
        <f t="shared" si="0"/>
        <v>40°41'25,0" N</v>
      </c>
      <c r="I6" s="16" t="str">
        <f t="shared" si="0"/>
        <v>40°41'26,0" N</v>
      </c>
      <c r="J6" s="16" t="str">
        <f t="shared" si="0"/>
        <v>40°41'27,0" N</v>
      </c>
      <c r="K6" s="16" t="str">
        <f t="shared" si="0"/>
        <v>40°41'28,0" N</v>
      </c>
      <c r="L6" s="16" t="str">
        <f t="shared" si="0"/>
        <v>40°41'29,0" N</v>
      </c>
      <c r="M6" s="16" t="str">
        <f>Convert_Degree(M7,1)</f>
        <v>40°41'30,0" N</v>
      </c>
      <c r="N6" s="16" t="str">
        <f>Convert_Degree(N7,1)</f>
        <v>40°41'31,0" N</v>
      </c>
      <c r="O6" s="16" t="str">
        <f>Convert_Degree(O7,1)</f>
        <v>40°41'32,0" N</v>
      </c>
      <c r="P6" s="16" t="str">
        <f>Convert_Degree(P7,1)</f>
        <v>40°41'33,0" N</v>
      </c>
      <c r="Q6" s="16" t="str">
        <f>Convert_Degree(Q7,1)</f>
        <v>40°41'34,0" N</v>
      </c>
    </row>
    <row r="7" spans="1:17" x14ac:dyDescent="0.45">
      <c r="A7" s="16" t="s">
        <v>6</v>
      </c>
      <c r="B7" s="18" t="s">
        <v>7</v>
      </c>
      <c r="C7" s="19">
        <v>40.688889000000003</v>
      </c>
      <c r="D7" s="19">
        <f>+C7+1/3600</f>
        <v>40.689166777777778</v>
      </c>
      <c r="E7" s="19">
        <f t="shared" ref="E7:Q7" si="1">+D7+1/3600</f>
        <v>40.689444555555554</v>
      </c>
      <c r="F7" s="19">
        <f t="shared" si="1"/>
        <v>40.689722333333329</v>
      </c>
      <c r="G7" s="19">
        <f t="shared" si="1"/>
        <v>40.690000111111104</v>
      </c>
      <c r="H7" s="19">
        <f t="shared" si="1"/>
        <v>40.690277888888879</v>
      </c>
      <c r="I7" s="19">
        <f t="shared" si="1"/>
        <v>40.690555666666654</v>
      </c>
      <c r="J7" s="19">
        <f t="shared" si="1"/>
        <v>40.690833444444429</v>
      </c>
      <c r="K7" s="19">
        <f t="shared" si="1"/>
        <v>40.691111222222204</v>
      </c>
      <c r="L7" s="19">
        <f t="shared" si="1"/>
        <v>40.69138899999998</v>
      </c>
      <c r="M7" s="19">
        <f t="shared" si="1"/>
        <v>40.691666777777755</v>
      </c>
      <c r="N7" s="19">
        <f t="shared" si="1"/>
        <v>40.69194455555553</v>
      </c>
      <c r="O7" s="19">
        <f t="shared" si="1"/>
        <v>40.692222333333305</v>
      </c>
      <c r="P7" s="19">
        <f t="shared" si="1"/>
        <v>40.69250011111108</v>
      </c>
      <c r="Q7" s="19">
        <f t="shared" si="1"/>
        <v>40.692777888888855</v>
      </c>
    </row>
    <row r="8" spans="1:17" x14ac:dyDescent="0.45">
      <c r="A8" s="16" t="str">
        <f>Convert_Degree(B8,0)</f>
        <v>74°02'39,0" W</v>
      </c>
      <c r="B8" s="19">
        <v>-74.044167000000002</v>
      </c>
      <c r="C8" s="16" t="str">
        <f t="shared" ref="C8:D28" si="2">MakeLocationsCode(C$7,$B8)</f>
        <v>DBYP-ZYOV</v>
      </c>
      <c r="D8" s="16" t="str">
        <f t="shared" si="2"/>
        <v>DBYP-ZYPV</v>
      </c>
      <c r="E8" s="16" t="str">
        <f t="shared" ref="E8:Q23" si="3">MakeLocationsCode(E$7,$B8)</f>
        <v>DBYP-ZYQV</v>
      </c>
      <c r="F8" s="16" t="str">
        <f t="shared" si="3"/>
        <v>DBYP-ZYRV</v>
      </c>
      <c r="G8" s="16" t="str">
        <f t="shared" si="3"/>
        <v>DBYP-ZYSV</v>
      </c>
      <c r="H8" s="16" t="str">
        <f t="shared" si="3"/>
        <v>DBYP-ZYTV</v>
      </c>
      <c r="I8" s="16" t="str">
        <f t="shared" si="3"/>
        <v>DBYP-ZYUV</v>
      </c>
      <c r="J8" s="16" t="str">
        <f t="shared" si="3"/>
        <v>DBYP-ZYVV</v>
      </c>
      <c r="K8" s="16" t="str">
        <f t="shared" si="3"/>
        <v>DBYP-ZYWV</v>
      </c>
      <c r="L8" s="16" t="str">
        <f t="shared" si="3"/>
        <v>DBYP-ZYXV</v>
      </c>
      <c r="M8" s="16" t="str">
        <f t="shared" si="3"/>
        <v>DBYP-ZYYV</v>
      </c>
      <c r="N8" s="16" t="str">
        <f t="shared" si="3"/>
        <v>DBYP-ZYZV</v>
      </c>
      <c r="O8" s="16" t="str">
        <f t="shared" si="3"/>
        <v>DBZP-2Y2V</v>
      </c>
      <c r="P8" s="16" t="str">
        <f t="shared" si="3"/>
        <v>DBZP-2Y3V</v>
      </c>
      <c r="Q8" s="16" t="str">
        <f t="shared" si="3"/>
        <v>DBZP-2Y4V</v>
      </c>
    </row>
    <row r="9" spans="1:17" x14ac:dyDescent="0.45">
      <c r="A9" s="16" t="str">
        <f t="shared" ref="A9:A39" si="4">Convert_Degree(B9,0)</f>
        <v>74°02'38,0" W</v>
      </c>
      <c r="B9" s="19">
        <f>+B8+1/3600</f>
        <v>-74.043889222222219</v>
      </c>
      <c r="C9" s="16" t="str">
        <f t="shared" si="2"/>
        <v>DBYP-ZYOW</v>
      </c>
      <c r="D9" s="16" t="str">
        <f t="shared" si="2"/>
        <v>DBYP-ZYPW</v>
      </c>
      <c r="E9" s="16" t="str">
        <f t="shared" si="3"/>
        <v>DBYP-ZYQW</v>
      </c>
      <c r="F9" s="16" t="str">
        <f t="shared" si="3"/>
        <v>DBYP-ZYRW</v>
      </c>
      <c r="G9" s="16" t="str">
        <f t="shared" si="3"/>
        <v>DBYP-ZYSW</v>
      </c>
      <c r="H9" s="16" t="str">
        <f t="shared" si="3"/>
        <v>DBYP-ZYTW</v>
      </c>
      <c r="I9" s="16" t="str">
        <f t="shared" si="3"/>
        <v>DBYP-ZYUW</v>
      </c>
      <c r="J9" s="16" t="str">
        <f t="shared" si="3"/>
        <v>DBYP-ZYVW</v>
      </c>
      <c r="K9" s="16" t="str">
        <f t="shared" si="3"/>
        <v>DBYP-ZYWW</v>
      </c>
      <c r="L9" s="16" t="str">
        <f t="shared" si="3"/>
        <v>DBYP-ZYXW</v>
      </c>
      <c r="M9" s="16" t="str">
        <f t="shared" si="3"/>
        <v>DBYP-ZYYW</v>
      </c>
      <c r="N9" s="16" t="str">
        <f t="shared" si="3"/>
        <v>DBYP-ZYZW</v>
      </c>
      <c r="O9" s="16" t="str">
        <f t="shared" si="3"/>
        <v>DBZP-2Y2W</v>
      </c>
      <c r="P9" s="16" t="str">
        <f t="shared" si="3"/>
        <v>DBZP-2Y3W</v>
      </c>
      <c r="Q9" s="16" t="str">
        <f t="shared" si="3"/>
        <v>DBZP-2Y4W</v>
      </c>
    </row>
    <row r="10" spans="1:17" x14ac:dyDescent="0.45">
      <c r="A10" s="16" t="str">
        <f t="shared" si="4"/>
        <v>74°02'37,0" W</v>
      </c>
      <c r="B10" s="19">
        <f t="shared" ref="B10:B39" si="5">+B9+1/3600</f>
        <v>-74.043611444444437</v>
      </c>
      <c r="C10" s="16" t="str">
        <f t="shared" si="2"/>
        <v>DBYP-ZYOX</v>
      </c>
      <c r="D10" s="16" t="str">
        <f t="shared" si="2"/>
        <v>DBYP-ZYPX</v>
      </c>
      <c r="E10" s="16" t="str">
        <f t="shared" si="3"/>
        <v>DBYP-ZYQX</v>
      </c>
      <c r="F10" s="16" t="str">
        <f t="shared" si="3"/>
        <v>DBYP-ZYRX</v>
      </c>
      <c r="G10" s="16" t="str">
        <f t="shared" si="3"/>
        <v>DBYP-ZYSX</v>
      </c>
      <c r="H10" s="16" t="str">
        <f t="shared" si="3"/>
        <v>DBYP-ZYTX</v>
      </c>
      <c r="I10" s="16" t="str">
        <f t="shared" si="3"/>
        <v>DBYP-ZYUX</v>
      </c>
      <c r="J10" s="16" t="str">
        <f t="shared" si="3"/>
        <v>DBYP-ZYVX</v>
      </c>
      <c r="K10" s="16" t="str">
        <f t="shared" si="3"/>
        <v>DBYP-ZYWX</v>
      </c>
      <c r="L10" s="16" t="str">
        <f t="shared" si="3"/>
        <v>DBYP-ZYXX</v>
      </c>
      <c r="M10" s="16" t="str">
        <f t="shared" si="3"/>
        <v>DBYP-ZYYX</v>
      </c>
      <c r="N10" s="16" t="str">
        <f t="shared" si="3"/>
        <v>DBYP-ZYZX</v>
      </c>
      <c r="O10" s="16" t="str">
        <f t="shared" si="3"/>
        <v>DBZP-2Y2X</v>
      </c>
      <c r="P10" s="16" t="str">
        <f t="shared" si="3"/>
        <v>DBZP-2Y3X</v>
      </c>
      <c r="Q10" s="16" t="str">
        <f t="shared" si="3"/>
        <v>DBZP-2Y4X</v>
      </c>
    </row>
    <row r="11" spans="1:17" x14ac:dyDescent="0.45">
      <c r="A11" s="16" t="str">
        <f t="shared" si="4"/>
        <v>74°02'36,0" W</v>
      </c>
      <c r="B11" s="19">
        <f t="shared" si="5"/>
        <v>-74.043333666666655</v>
      </c>
      <c r="C11" s="16" t="str">
        <f t="shared" si="2"/>
        <v>DBYP-ZYOY</v>
      </c>
      <c r="D11" s="16" t="str">
        <f t="shared" si="2"/>
        <v>DBYP-ZYPY</v>
      </c>
      <c r="E11" s="16" t="str">
        <f t="shared" si="3"/>
        <v>DBYP-ZYQY</v>
      </c>
      <c r="F11" s="16" t="str">
        <f t="shared" si="3"/>
        <v>DBYP-ZYRY</v>
      </c>
      <c r="G11" s="16" t="str">
        <f t="shared" si="3"/>
        <v>DBYP-ZYSY</v>
      </c>
      <c r="H11" s="16" t="str">
        <f t="shared" si="3"/>
        <v>DBYP-ZYTY</v>
      </c>
      <c r="I11" s="16" t="str">
        <f t="shared" si="3"/>
        <v>DBYP-ZYUY</v>
      </c>
      <c r="J11" s="16" t="str">
        <f t="shared" si="3"/>
        <v>DBYP-ZYVY</v>
      </c>
      <c r="K11" s="16" t="str">
        <f t="shared" si="3"/>
        <v>DBYP-ZYWY</v>
      </c>
      <c r="L11" s="16" t="str">
        <f t="shared" si="3"/>
        <v>DBYP-ZYXY</v>
      </c>
      <c r="M11" s="16" t="str">
        <f t="shared" si="3"/>
        <v>DBYP-ZYYY</v>
      </c>
      <c r="N11" s="16" t="str">
        <f t="shared" si="3"/>
        <v>DBYP-ZYZY</v>
      </c>
      <c r="O11" s="16" t="str">
        <f t="shared" si="3"/>
        <v>DBZP-2Y2Y</v>
      </c>
      <c r="P11" s="16" t="str">
        <f t="shared" si="3"/>
        <v>DBZP-2Y3Y</v>
      </c>
      <c r="Q11" s="16" t="str">
        <f t="shared" si="3"/>
        <v>DBZP-2Y4Y</v>
      </c>
    </row>
    <row r="12" spans="1:17" x14ac:dyDescent="0.45">
      <c r="A12" s="16" t="str">
        <f t="shared" si="4"/>
        <v>74°02'35,0" W</v>
      </c>
      <c r="B12" s="19">
        <f t="shared" si="5"/>
        <v>-74.043055888888873</v>
      </c>
      <c r="C12" s="16" t="str">
        <f t="shared" si="2"/>
        <v>DBYP-ZYOZ</v>
      </c>
      <c r="D12" s="16" t="str">
        <f t="shared" si="2"/>
        <v>DBYP-ZYPZ</v>
      </c>
      <c r="E12" s="16" t="str">
        <f t="shared" si="3"/>
        <v>DBYP-ZYQZ</v>
      </c>
      <c r="F12" s="16" t="str">
        <f t="shared" si="3"/>
        <v>DBYP-ZYRZ</v>
      </c>
      <c r="G12" s="16" t="str">
        <f t="shared" si="3"/>
        <v>DBYP-ZYSZ</v>
      </c>
      <c r="H12" s="16" t="str">
        <f t="shared" si="3"/>
        <v>DBYP-ZYTZ</v>
      </c>
      <c r="I12" s="16" t="str">
        <f t="shared" si="3"/>
        <v>DBYP-ZYUZ</v>
      </c>
      <c r="J12" s="16" t="str">
        <f t="shared" si="3"/>
        <v>DBYP-ZYVZ</v>
      </c>
      <c r="K12" s="16" t="str">
        <f t="shared" si="3"/>
        <v>DBYP-ZYWZ</v>
      </c>
      <c r="L12" s="16" t="str">
        <f t="shared" si="3"/>
        <v>DBYP-ZYXZ</v>
      </c>
      <c r="M12" s="16" t="str">
        <f t="shared" si="3"/>
        <v>DBYP-ZYYZ</v>
      </c>
      <c r="N12" s="16" t="str">
        <f t="shared" si="3"/>
        <v>DBYP-ZYZZ</v>
      </c>
      <c r="O12" s="16" t="str">
        <f t="shared" si="3"/>
        <v>DBZP-2Y2Z</v>
      </c>
      <c r="P12" s="16" t="str">
        <f t="shared" si="3"/>
        <v>DBZP-2Y3Z</v>
      </c>
      <c r="Q12" s="16" t="str">
        <f t="shared" si="3"/>
        <v>DBZP-2Y4Z</v>
      </c>
    </row>
    <row r="13" spans="1:17" x14ac:dyDescent="0.45">
      <c r="A13" s="16" t="str">
        <f t="shared" si="4"/>
        <v>74°02'34,0" W</v>
      </c>
      <c r="B13" s="19">
        <f t="shared" si="5"/>
        <v>-74.04277811111109</v>
      </c>
      <c r="C13" s="16" t="str">
        <f t="shared" si="2"/>
        <v>DBYP-ZZO2</v>
      </c>
      <c r="D13" s="16" t="str">
        <f t="shared" si="2"/>
        <v>DBYP-ZZP2</v>
      </c>
      <c r="E13" s="16" t="str">
        <f t="shared" si="3"/>
        <v>DBYP-ZZQ2</v>
      </c>
      <c r="F13" s="16" t="str">
        <f t="shared" si="3"/>
        <v>DBYP-ZZR2</v>
      </c>
      <c r="G13" s="16" t="str">
        <f t="shared" si="3"/>
        <v>DBYP-ZZS2</v>
      </c>
      <c r="H13" s="16" t="str">
        <f t="shared" si="3"/>
        <v>DBYP-ZZT2</v>
      </c>
      <c r="I13" s="16" t="str">
        <f t="shared" si="3"/>
        <v>DBYP-ZZU2</v>
      </c>
      <c r="J13" s="16" t="str">
        <f t="shared" si="3"/>
        <v>DBYP-ZZV2</v>
      </c>
      <c r="K13" s="16" t="str">
        <f t="shared" si="3"/>
        <v>DBYP-ZZW2</v>
      </c>
      <c r="L13" s="16" t="str">
        <f t="shared" si="3"/>
        <v>DBYP-ZZX2</v>
      </c>
      <c r="M13" s="16" t="str">
        <f t="shared" si="3"/>
        <v>DBYP-ZZY2</v>
      </c>
      <c r="N13" s="16" t="str">
        <f t="shared" si="3"/>
        <v>DBYP-ZZZ2</v>
      </c>
      <c r="O13" s="16" t="str">
        <f t="shared" si="3"/>
        <v>DBZP-2Z22</v>
      </c>
      <c r="P13" s="16" t="str">
        <f t="shared" si="3"/>
        <v>DBZP-2Z32</v>
      </c>
      <c r="Q13" s="16" t="str">
        <f t="shared" si="3"/>
        <v>DBZP-2Z42</v>
      </c>
    </row>
    <row r="14" spans="1:17" x14ac:dyDescent="0.45">
      <c r="A14" s="16" t="str">
        <f t="shared" si="4"/>
        <v>74°02'33,0" W</v>
      </c>
      <c r="B14" s="19">
        <f t="shared" si="5"/>
        <v>-74.042500333333308</v>
      </c>
      <c r="C14" s="16" t="str">
        <f t="shared" si="2"/>
        <v>DBYP-ZZO3</v>
      </c>
      <c r="D14" s="16" t="str">
        <f t="shared" si="2"/>
        <v>DBYP-ZZP3</v>
      </c>
      <c r="E14" s="16" t="str">
        <f t="shared" si="3"/>
        <v>DBYP-ZZQ3</v>
      </c>
      <c r="F14" s="16" t="str">
        <f t="shared" si="3"/>
        <v>DBYP-ZZR3</v>
      </c>
      <c r="G14" s="16" t="str">
        <f t="shared" si="3"/>
        <v>DBYP-ZZS3</v>
      </c>
      <c r="H14" s="16" t="str">
        <f t="shared" si="3"/>
        <v>DBYP-ZZT3</v>
      </c>
      <c r="I14" s="16" t="str">
        <f t="shared" si="3"/>
        <v>DBYP-ZZU3</v>
      </c>
      <c r="J14" s="16" t="str">
        <f t="shared" si="3"/>
        <v>DBYP-ZZV3</v>
      </c>
      <c r="K14" s="16" t="str">
        <f t="shared" si="3"/>
        <v>DBYP-ZZW3</v>
      </c>
      <c r="L14" s="16" t="str">
        <f t="shared" si="3"/>
        <v>DBYP-ZZX3</v>
      </c>
      <c r="M14" s="16" t="str">
        <f t="shared" si="3"/>
        <v>DBYP-ZZY3</v>
      </c>
      <c r="N14" s="16" t="str">
        <f t="shared" si="3"/>
        <v>DBYP-ZZZ3</v>
      </c>
      <c r="O14" s="16" t="str">
        <f t="shared" si="3"/>
        <v>DBZP-2Z23</v>
      </c>
      <c r="P14" s="16" t="str">
        <f t="shared" si="3"/>
        <v>DBZP-2Z33</v>
      </c>
      <c r="Q14" s="16" t="str">
        <f t="shared" si="3"/>
        <v>DBZP-2Z43</v>
      </c>
    </row>
    <row r="15" spans="1:17" x14ac:dyDescent="0.45">
      <c r="A15" s="16" t="str">
        <f t="shared" si="4"/>
        <v>74°02'32,0" W</v>
      </c>
      <c r="B15" s="19">
        <f t="shared" si="5"/>
        <v>-74.042222555555526</v>
      </c>
      <c r="C15" s="16" t="str">
        <f t="shared" si="2"/>
        <v>DBYP-ZZO4</v>
      </c>
      <c r="D15" s="16" t="str">
        <f t="shared" si="2"/>
        <v>DBYP-ZZP4</v>
      </c>
      <c r="E15" s="16" t="str">
        <f t="shared" si="3"/>
        <v>DBYP-ZZQ4</v>
      </c>
      <c r="F15" s="16" t="str">
        <f t="shared" si="3"/>
        <v>DBYP-ZZR4</v>
      </c>
      <c r="G15" s="16" t="str">
        <f t="shared" si="3"/>
        <v>DBYP-ZZS4</v>
      </c>
      <c r="H15" s="16" t="str">
        <f t="shared" si="3"/>
        <v>DBYP-ZZT4</v>
      </c>
      <c r="I15" s="16" t="str">
        <f t="shared" si="3"/>
        <v>DBYP-ZZU4</v>
      </c>
      <c r="J15" s="16" t="str">
        <f t="shared" si="3"/>
        <v>DBYP-ZZV4</v>
      </c>
      <c r="K15" s="16" t="str">
        <f t="shared" si="3"/>
        <v>DBYP-ZZW4</v>
      </c>
      <c r="L15" s="16" t="str">
        <f t="shared" si="3"/>
        <v>DBYP-ZZX4</v>
      </c>
      <c r="M15" s="16" t="str">
        <f t="shared" si="3"/>
        <v>DBYP-ZZY4</v>
      </c>
      <c r="N15" s="16" t="str">
        <f t="shared" si="3"/>
        <v>DBYP-ZZZ4</v>
      </c>
      <c r="O15" s="16" t="str">
        <f t="shared" si="3"/>
        <v>DBZP-2Z24</v>
      </c>
      <c r="P15" s="16" t="str">
        <f t="shared" si="3"/>
        <v>DBZP-2Z34</v>
      </c>
      <c r="Q15" s="16" t="str">
        <f t="shared" si="3"/>
        <v>DBZP-2Z44</v>
      </c>
    </row>
    <row r="16" spans="1:17" x14ac:dyDescent="0.45">
      <c r="A16" s="16" t="str">
        <f t="shared" si="4"/>
        <v>74°02'31,0" W</v>
      </c>
      <c r="B16" s="19">
        <f t="shared" si="5"/>
        <v>-74.041944777777744</v>
      </c>
      <c r="C16" s="16" t="str">
        <f t="shared" si="2"/>
        <v>DBYP-ZZO5</v>
      </c>
      <c r="D16" s="16" t="str">
        <f t="shared" si="2"/>
        <v>DBYP-ZZP5</v>
      </c>
      <c r="E16" s="16" t="str">
        <f t="shared" si="3"/>
        <v>DBYP-ZZQ5</v>
      </c>
      <c r="F16" s="16" t="str">
        <f t="shared" si="3"/>
        <v>DBYP-ZZR5</v>
      </c>
      <c r="G16" s="16" t="str">
        <f t="shared" si="3"/>
        <v>DBYP-ZZS5</v>
      </c>
      <c r="H16" s="16" t="str">
        <f t="shared" si="3"/>
        <v>DBYP-ZZT5</v>
      </c>
      <c r="I16" s="16" t="str">
        <f t="shared" si="3"/>
        <v>DBYP-ZZU5</v>
      </c>
      <c r="J16" s="16" t="str">
        <f t="shared" si="3"/>
        <v>DBYP-ZZV5</v>
      </c>
      <c r="K16" s="16" t="str">
        <f t="shared" si="3"/>
        <v>DBYP-ZZW5</v>
      </c>
      <c r="L16" s="16" t="str">
        <f t="shared" si="3"/>
        <v>DBYP-ZZX5</v>
      </c>
      <c r="M16" s="16" t="str">
        <f t="shared" si="3"/>
        <v>DBYP-ZZY5</v>
      </c>
      <c r="N16" s="16" t="str">
        <f t="shared" si="3"/>
        <v>DBYP-ZZZ5</v>
      </c>
      <c r="O16" s="16" t="str">
        <f t="shared" si="3"/>
        <v>DBZP-2Z25</v>
      </c>
      <c r="P16" s="16" t="str">
        <f t="shared" si="3"/>
        <v>DBZP-2Z35</v>
      </c>
      <c r="Q16" s="16" t="str">
        <f t="shared" si="3"/>
        <v>DBZP-2Z45</v>
      </c>
    </row>
    <row r="17" spans="1:17" x14ac:dyDescent="0.45">
      <c r="A17" s="16" t="str">
        <f t="shared" si="4"/>
        <v>74°02'30,0" W</v>
      </c>
      <c r="B17" s="19">
        <f t="shared" si="5"/>
        <v>-74.041666999999961</v>
      </c>
      <c r="C17" s="16" t="str">
        <f t="shared" si="2"/>
        <v>DBYP-ZZO6</v>
      </c>
      <c r="D17" s="16" t="str">
        <f t="shared" si="2"/>
        <v>DBYP-ZZP6</v>
      </c>
      <c r="E17" s="16" t="str">
        <f t="shared" si="3"/>
        <v>DBYP-ZZQ6</v>
      </c>
      <c r="F17" s="16" t="str">
        <f t="shared" si="3"/>
        <v>DBYP-ZZR6</v>
      </c>
      <c r="G17" s="16" t="str">
        <f t="shared" si="3"/>
        <v>DBYP-ZZS6</v>
      </c>
      <c r="H17" s="16" t="str">
        <f t="shared" si="3"/>
        <v>DBYP-ZZT6</v>
      </c>
      <c r="I17" s="16" t="str">
        <f t="shared" si="3"/>
        <v>DBYP-ZZU6</v>
      </c>
      <c r="J17" s="16" t="str">
        <f t="shared" si="3"/>
        <v>DBYP-ZZV6</v>
      </c>
      <c r="K17" s="16" t="str">
        <f t="shared" si="3"/>
        <v>DBYP-ZZW6</v>
      </c>
      <c r="L17" s="16" t="str">
        <f t="shared" si="3"/>
        <v>DBYP-ZZX6</v>
      </c>
      <c r="M17" s="16" t="str">
        <f t="shared" si="3"/>
        <v>DBYP-ZZY6</v>
      </c>
      <c r="N17" s="16" t="str">
        <f t="shared" si="3"/>
        <v>DBYP-ZZZ6</v>
      </c>
      <c r="O17" s="16" t="str">
        <f t="shared" si="3"/>
        <v>DBZP-2Z26</v>
      </c>
      <c r="P17" s="16" t="str">
        <f t="shared" si="3"/>
        <v>DBZP-2Z36</v>
      </c>
      <c r="Q17" s="16" t="str">
        <f t="shared" si="3"/>
        <v>DBZP-2Z46</v>
      </c>
    </row>
    <row r="18" spans="1:17" x14ac:dyDescent="0.45">
      <c r="A18" s="16" t="str">
        <f t="shared" si="4"/>
        <v>74°02'29,0" W</v>
      </c>
      <c r="B18" s="19">
        <f t="shared" si="5"/>
        <v>-74.041389222222179</v>
      </c>
      <c r="C18" s="16" t="str">
        <f t="shared" si="2"/>
        <v>DBYP-ZZO7</v>
      </c>
      <c r="D18" s="16" t="str">
        <f t="shared" si="2"/>
        <v>DBYP-ZZP7</v>
      </c>
      <c r="E18" s="16" t="str">
        <f t="shared" si="3"/>
        <v>DBYP-ZZQ7</v>
      </c>
      <c r="F18" s="16" t="str">
        <f t="shared" si="3"/>
        <v>DBYP-ZZR7</v>
      </c>
      <c r="G18" s="16" t="str">
        <f t="shared" si="3"/>
        <v>DBYP-ZZS7</v>
      </c>
      <c r="H18" s="16" t="str">
        <f t="shared" si="3"/>
        <v>DBYP-ZZT7</v>
      </c>
      <c r="I18" s="16" t="str">
        <f t="shared" si="3"/>
        <v>DBYP-ZZU7</v>
      </c>
      <c r="J18" s="16" t="str">
        <f t="shared" si="3"/>
        <v>DBYP-ZZV7</v>
      </c>
      <c r="K18" s="16" t="str">
        <f t="shared" si="3"/>
        <v>DBYP-ZZW7</v>
      </c>
      <c r="L18" s="16" t="str">
        <f t="shared" si="3"/>
        <v>DBYP-ZZX7</v>
      </c>
      <c r="M18" s="16" t="str">
        <f t="shared" si="3"/>
        <v>DBYP-ZZY7</v>
      </c>
      <c r="N18" s="16" t="str">
        <f t="shared" si="3"/>
        <v>DBYP-ZZZ7</v>
      </c>
      <c r="O18" s="16" t="str">
        <f t="shared" si="3"/>
        <v>DBZP-2Z27</v>
      </c>
      <c r="P18" s="16" t="str">
        <f t="shared" si="3"/>
        <v>DBZP-2Z37</v>
      </c>
      <c r="Q18" s="16" t="str">
        <f t="shared" si="3"/>
        <v>DBZP-2Z47</v>
      </c>
    </row>
    <row r="19" spans="1:17" x14ac:dyDescent="0.45">
      <c r="A19" s="16" t="str">
        <f t="shared" si="4"/>
        <v>74°02'28,0" W</v>
      </c>
      <c r="B19" s="19">
        <f t="shared" si="5"/>
        <v>-74.041111444444397</v>
      </c>
      <c r="C19" s="16" t="str">
        <f t="shared" si="2"/>
        <v>DBYP-ZZO8</v>
      </c>
      <c r="D19" s="16" t="str">
        <f t="shared" si="2"/>
        <v>DBYP-ZZP8</v>
      </c>
      <c r="E19" s="16" t="str">
        <f t="shared" si="3"/>
        <v>DBYP-ZZQ8</v>
      </c>
      <c r="F19" s="16" t="str">
        <f t="shared" si="3"/>
        <v>DBYP-ZZR8</v>
      </c>
      <c r="G19" s="16" t="str">
        <f t="shared" si="3"/>
        <v>DBYP-ZZS8</v>
      </c>
      <c r="H19" s="16" t="str">
        <f t="shared" si="3"/>
        <v>DBYP-ZZT8</v>
      </c>
      <c r="I19" s="16" t="str">
        <f t="shared" si="3"/>
        <v>DBYP-ZZU8</v>
      </c>
      <c r="J19" s="16" t="str">
        <f t="shared" si="3"/>
        <v>DBYP-ZZV8</v>
      </c>
      <c r="K19" s="16" t="str">
        <f t="shared" si="3"/>
        <v>DBYP-ZZW8</v>
      </c>
      <c r="L19" s="16" t="str">
        <f t="shared" si="3"/>
        <v>DBYP-ZZX8</v>
      </c>
      <c r="M19" s="16" t="str">
        <f t="shared" si="3"/>
        <v>DBYP-ZZY8</v>
      </c>
      <c r="N19" s="16" t="str">
        <f t="shared" si="3"/>
        <v>DBYP-ZZZ8</v>
      </c>
      <c r="O19" s="16" t="str">
        <f t="shared" si="3"/>
        <v>DBZP-2Z28</v>
      </c>
      <c r="P19" s="16" t="str">
        <f t="shared" si="3"/>
        <v>DBZP-2Z38</v>
      </c>
      <c r="Q19" s="16" t="str">
        <f t="shared" si="3"/>
        <v>DBZP-2Z48</v>
      </c>
    </row>
    <row r="20" spans="1:17" x14ac:dyDescent="0.45">
      <c r="A20" s="16" t="str">
        <f t="shared" si="4"/>
        <v>74°02'27,0" W</v>
      </c>
      <c r="B20" s="19">
        <f t="shared" si="5"/>
        <v>-74.040833666666614</v>
      </c>
      <c r="C20" s="16" t="str">
        <f t="shared" si="2"/>
        <v>DBYP-ZZO9</v>
      </c>
      <c r="D20" s="16" t="str">
        <f t="shared" si="2"/>
        <v>DBYP-ZZP9</v>
      </c>
      <c r="E20" s="16" t="str">
        <f t="shared" si="3"/>
        <v>DBYP-ZZQ9</v>
      </c>
      <c r="F20" s="16" t="str">
        <f t="shared" si="3"/>
        <v>DBYP-ZZR9</v>
      </c>
      <c r="G20" s="16" t="str">
        <f t="shared" si="3"/>
        <v>DBYP-ZZS9</v>
      </c>
      <c r="H20" s="16" t="str">
        <f t="shared" si="3"/>
        <v>DBYP-ZZT9</v>
      </c>
      <c r="I20" s="16" t="str">
        <f t="shared" si="3"/>
        <v>DBYP-ZZU9</v>
      </c>
      <c r="J20" s="16" t="str">
        <f t="shared" si="3"/>
        <v>DBYP-ZZV9</v>
      </c>
      <c r="K20" s="16" t="str">
        <f t="shared" si="3"/>
        <v>DBYP-ZZW9</v>
      </c>
      <c r="L20" s="16" t="str">
        <f t="shared" si="3"/>
        <v>DBYP-ZZX9</v>
      </c>
      <c r="M20" s="16" t="str">
        <f t="shared" si="3"/>
        <v>DBYP-ZZY9</v>
      </c>
      <c r="N20" s="16" t="str">
        <f t="shared" si="3"/>
        <v>DBYP-ZZZ9</v>
      </c>
      <c r="O20" s="16" t="str">
        <f t="shared" si="3"/>
        <v>DBZP-2Z29</v>
      </c>
      <c r="P20" s="16" t="str">
        <f t="shared" si="3"/>
        <v>DBZP-2Z39</v>
      </c>
      <c r="Q20" s="16" t="str">
        <f t="shared" si="3"/>
        <v>DBZP-2Z49</v>
      </c>
    </row>
    <row r="21" spans="1:17" x14ac:dyDescent="0.45">
      <c r="A21" s="16" t="str">
        <f t="shared" si="4"/>
        <v>74°02'26,0" W</v>
      </c>
      <c r="B21" s="19">
        <f t="shared" si="5"/>
        <v>-74.040555888888832</v>
      </c>
      <c r="C21" s="16" t="str">
        <f t="shared" si="2"/>
        <v>DBYP-ZZOA</v>
      </c>
      <c r="D21" s="16" t="str">
        <f t="shared" si="2"/>
        <v>DBYP-ZZPA</v>
      </c>
      <c r="E21" s="16" t="str">
        <f t="shared" si="3"/>
        <v>DBYP-ZZQA</v>
      </c>
      <c r="F21" s="16" t="str">
        <f t="shared" si="3"/>
        <v>DBYP-ZZRA</v>
      </c>
      <c r="G21" s="16" t="str">
        <f t="shared" si="3"/>
        <v>DBYP-ZZSA</v>
      </c>
      <c r="H21" s="16" t="str">
        <f t="shared" si="3"/>
        <v>DBYP-ZZTA</v>
      </c>
      <c r="I21" s="16" t="str">
        <f t="shared" si="3"/>
        <v>DBYP-ZZUA</v>
      </c>
      <c r="J21" s="16" t="str">
        <f t="shared" si="3"/>
        <v>DBYP-ZZVA</v>
      </c>
      <c r="K21" s="16" t="str">
        <f t="shared" si="3"/>
        <v>DBYP-ZZWA</v>
      </c>
      <c r="L21" s="16" t="str">
        <f t="shared" si="3"/>
        <v>DBYP-ZZXA</v>
      </c>
      <c r="M21" s="16" t="str">
        <f t="shared" si="3"/>
        <v>DBYP-ZZYA</v>
      </c>
      <c r="N21" s="16" t="str">
        <f t="shared" si="3"/>
        <v>DBYP-ZZZA</v>
      </c>
      <c r="O21" s="16" t="str">
        <f t="shared" si="3"/>
        <v>DBZP-2Z2A</v>
      </c>
      <c r="P21" s="16" t="str">
        <f t="shared" si="3"/>
        <v>DBZP-2Z3A</v>
      </c>
      <c r="Q21" s="16" t="str">
        <f t="shared" si="3"/>
        <v>DBZP-2Z4A</v>
      </c>
    </row>
    <row r="22" spans="1:17" x14ac:dyDescent="0.45">
      <c r="A22" s="16" t="str">
        <f t="shared" si="4"/>
        <v>74°02'25,0" W</v>
      </c>
      <c r="B22" s="19">
        <f t="shared" si="5"/>
        <v>-74.04027811111105</v>
      </c>
      <c r="C22" s="16" t="str">
        <f t="shared" si="2"/>
        <v>DBYP-ZZOB</v>
      </c>
      <c r="D22" s="16" t="str">
        <f t="shared" si="2"/>
        <v>DBYP-ZZPB</v>
      </c>
      <c r="E22" s="16" t="str">
        <f t="shared" si="3"/>
        <v>DBYP-ZZQB</v>
      </c>
      <c r="F22" s="16" t="str">
        <f t="shared" si="3"/>
        <v>DBYP-ZZRB</v>
      </c>
      <c r="G22" s="16" t="str">
        <f t="shared" si="3"/>
        <v>DBYP-ZZSB</v>
      </c>
      <c r="H22" s="16" t="str">
        <f t="shared" si="3"/>
        <v>DBYP-ZZTB</v>
      </c>
      <c r="I22" s="16" t="str">
        <f t="shared" si="3"/>
        <v>DBYP-ZZUB</v>
      </c>
      <c r="J22" s="16" t="str">
        <f t="shared" si="3"/>
        <v>DBYP-ZZVB</v>
      </c>
      <c r="K22" s="16" t="str">
        <f t="shared" si="3"/>
        <v>DBYP-ZZWB</v>
      </c>
      <c r="L22" s="16" t="str">
        <f t="shared" si="3"/>
        <v>DBYP-ZZXB</v>
      </c>
      <c r="M22" s="16" t="str">
        <f t="shared" si="3"/>
        <v>DBYP-ZZYB</v>
      </c>
      <c r="N22" s="16" t="str">
        <f t="shared" si="3"/>
        <v>DBYP-ZZZB</v>
      </c>
      <c r="O22" s="16" t="str">
        <f t="shared" si="3"/>
        <v>DBZP-2Z2B</v>
      </c>
      <c r="P22" s="16" t="str">
        <f t="shared" si="3"/>
        <v>DBZP-2Z3B</v>
      </c>
      <c r="Q22" s="16" t="str">
        <f t="shared" si="3"/>
        <v>DBZP-2Z4B</v>
      </c>
    </row>
    <row r="23" spans="1:17" x14ac:dyDescent="0.45">
      <c r="A23" s="16" t="str">
        <f t="shared" si="4"/>
        <v>74°02'24,0" W</v>
      </c>
      <c r="B23" s="19">
        <f t="shared" si="5"/>
        <v>-74.040000333333268</v>
      </c>
      <c r="C23" s="16" t="str">
        <f t="shared" si="2"/>
        <v>DBYP-ZZOC</v>
      </c>
      <c r="D23" s="16" t="str">
        <f t="shared" si="2"/>
        <v>DBYP-ZZPC</v>
      </c>
      <c r="E23" s="16" t="str">
        <f t="shared" si="3"/>
        <v>DBYP-ZZQC</v>
      </c>
      <c r="F23" s="16" t="str">
        <f t="shared" si="3"/>
        <v>DBYP-ZZRC</v>
      </c>
      <c r="G23" s="16" t="str">
        <f t="shared" si="3"/>
        <v>DBYP-ZZSC</v>
      </c>
      <c r="H23" s="16" t="str">
        <f t="shared" si="3"/>
        <v>DBYP-ZZTC</v>
      </c>
      <c r="I23" s="16" t="str">
        <f t="shared" si="3"/>
        <v>DBYP-ZZUC</v>
      </c>
      <c r="J23" s="16" t="str">
        <f t="shared" si="3"/>
        <v>DBYP-ZZVC</v>
      </c>
      <c r="K23" s="16" t="str">
        <f t="shared" si="3"/>
        <v>DBYP-ZZWC</v>
      </c>
      <c r="L23" s="16" t="str">
        <f t="shared" si="3"/>
        <v>DBYP-ZZXC</v>
      </c>
      <c r="M23" s="16" t="str">
        <f t="shared" si="3"/>
        <v>DBYP-ZZYC</v>
      </c>
      <c r="N23" s="16" t="str">
        <f t="shared" si="3"/>
        <v>DBYP-ZZZC</v>
      </c>
      <c r="O23" s="16" t="str">
        <f t="shared" si="3"/>
        <v>DBZP-2Z2C</v>
      </c>
      <c r="P23" s="16" t="str">
        <f t="shared" si="3"/>
        <v>DBZP-2Z3C</v>
      </c>
      <c r="Q23" s="16" t="str">
        <f t="shared" si="3"/>
        <v>DBZP-2Z4C</v>
      </c>
    </row>
    <row r="24" spans="1:17" x14ac:dyDescent="0.45">
      <c r="A24" s="16" t="str">
        <f t="shared" si="4"/>
        <v>74°02'23,0" W</v>
      </c>
      <c r="B24" s="19">
        <f t="shared" si="5"/>
        <v>-74.039722555555485</v>
      </c>
      <c r="C24" s="16" t="str">
        <f t="shared" si="2"/>
        <v>DBYP-ZZOD</v>
      </c>
      <c r="D24" s="16" t="str">
        <f t="shared" si="2"/>
        <v>DBYP-ZZPD</v>
      </c>
      <c r="E24" s="16" t="str">
        <f t="shared" ref="E24:Q28" si="6">MakeLocationsCode(E$7,$B24)</f>
        <v>DBYP-ZZQD</v>
      </c>
      <c r="F24" s="16" t="str">
        <f t="shared" si="6"/>
        <v>DBYP-ZZRD</v>
      </c>
      <c r="G24" s="16" t="str">
        <f t="shared" si="6"/>
        <v>DBYP-ZZSD</v>
      </c>
      <c r="H24" s="16" t="str">
        <f t="shared" si="6"/>
        <v>DBYP-ZZTD</v>
      </c>
      <c r="I24" s="16" t="str">
        <f t="shared" si="6"/>
        <v>DBYP-ZZUD</v>
      </c>
      <c r="J24" s="16" t="str">
        <f t="shared" si="6"/>
        <v>DBYP-ZZVD</v>
      </c>
      <c r="K24" s="16" t="str">
        <f t="shared" si="6"/>
        <v>DBYP-ZZWD</v>
      </c>
      <c r="L24" s="16" t="str">
        <f t="shared" si="6"/>
        <v>DBYP-ZZXD</v>
      </c>
      <c r="M24" s="16" t="str">
        <f t="shared" si="6"/>
        <v>DBYP-ZZYD</v>
      </c>
      <c r="N24" s="16" t="str">
        <f t="shared" si="6"/>
        <v>DBYP-ZZZD</v>
      </c>
      <c r="O24" s="16" t="str">
        <f t="shared" si="6"/>
        <v>DBZP-2Z2D</v>
      </c>
      <c r="P24" s="16" t="str">
        <f t="shared" si="6"/>
        <v>DBZP-2Z3D</v>
      </c>
      <c r="Q24" s="16" t="str">
        <f t="shared" si="6"/>
        <v>DBZP-2Z4D</v>
      </c>
    </row>
    <row r="25" spans="1:17" x14ac:dyDescent="0.45">
      <c r="A25" s="16" t="str">
        <f t="shared" si="4"/>
        <v>74°02'22,0" W</v>
      </c>
      <c r="B25" s="19">
        <f t="shared" si="5"/>
        <v>-74.039444777777703</v>
      </c>
      <c r="C25" s="16" t="str">
        <f t="shared" si="2"/>
        <v>DBYP-ZZOE</v>
      </c>
      <c r="D25" s="16" t="str">
        <f t="shared" si="2"/>
        <v>DBYP-ZZPE</v>
      </c>
      <c r="E25" s="16" t="str">
        <f t="shared" si="6"/>
        <v>DBYP-ZZQE</v>
      </c>
      <c r="F25" s="16" t="str">
        <f t="shared" si="6"/>
        <v>DBYP-ZZRE</v>
      </c>
      <c r="G25" s="16" t="str">
        <f t="shared" si="6"/>
        <v>DBYP-ZZSE</v>
      </c>
      <c r="H25" s="16" t="str">
        <f t="shared" si="6"/>
        <v>DBYP-ZZTE</v>
      </c>
      <c r="I25" s="16" t="str">
        <f t="shared" si="6"/>
        <v>DBYP-ZZUE</v>
      </c>
      <c r="J25" s="16" t="str">
        <f t="shared" si="6"/>
        <v>DBYP-ZZVE</v>
      </c>
      <c r="K25" s="16" t="str">
        <f t="shared" si="6"/>
        <v>DBYP-ZZWE</v>
      </c>
      <c r="L25" s="16" t="str">
        <f t="shared" si="6"/>
        <v>DBYP-ZZXE</v>
      </c>
      <c r="M25" s="16" t="str">
        <f t="shared" si="6"/>
        <v>DBYP-ZZYE</v>
      </c>
      <c r="N25" s="16" t="str">
        <f t="shared" si="6"/>
        <v>DBYP-ZZZE</v>
      </c>
      <c r="O25" s="16" t="str">
        <f t="shared" si="6"/>
        <v>DBZP-2Z2E</v>
      </c>
      <c r="P25" s="16" t="str">
        <f t="shared" si="6"/>
        <v>DBZP-2Z3E</v>
      </c>
      <c r="Q25" s="16" t="str">
        <f t="shared" si="6"/>
        <v>DBZP-2Z4E</v>
      </c>
    </row>
    <row r="26" spans="1:17" x14ac:dyDescent="0.45">
      <c r="A26" s="16" t="str">
        <f t="shared" si="4"/>
        <v>74°02'21,0" W</v>
      </c>
      <c r="B26" s="19">
        <f t="shared" si="5"/>
        <v>-74.039166999999921</v>
      </c>
      <c r="C26" s="16" t="str">
        <f t="shared" si="2"/>
        <v>DBYP-ZZOF</v>
      </c>
      <c r="D26" s="16" t="str">
        <f t="shared" si="2"/>
        <v>DBYP-ZZPF</v>
      </c>
      <c r="E26" s="16" t="str">
        <f t="shared" si="6"/>
        <v>DBYP-ZZQF</v>
      </c>
      <c r="F26" s="16" t="str">
        <f t="shared" si="6"/>
        <v>DBYP-ZZRF</v>
      </c>
      <c r="G26" s="16" t="str">
        <f t="shared" si="6"/>
        <v>DBYP-ZZSF</v>
      </c>
      <c r="H26" s="16" t="str">
        <f t="shared" si="6"/>
        <v>DBYP-ZZTF</v>
      </c>
      <c r="I26" s="16" t="str">
        <f t="shared" si="6"/>
        <v>DBYP-ZZUF</v>
      </c>
      <c r="J26" s="16" t="str">
        <f t="shared" si="6"/>
        <v>DBYP-ZZVF</v>
      </c>
      <c r="K26" s="16" t="str">
        <f t="shared" si="6"/>
        <v>DBYP-ZZWF</v>
      </c>
      <c r="L26" s="16" t="str">
        <f t="shared" si="6"/>
        <v>DBYP-ZZXF</v>
      </c>
      <c r="M26" s="16" t="str">
        <f t="shared" si="6"/>
        <v>DBYP-ZZYF</v>
      </c>
      <c r="N26" s="16" t="str">
        <f t="shared" si="6"/>
        <v>DBYP-ZZZF</v>
      </c>
      <c r="O26" s="16" t="str">
        <f t="shared" si="6"/>
        <v>DBZP-2Z2F</v>
      </c>
      <c r="P26" s="16" t="str">
        <f t="shared" si="6"/>
        <v>DBZP-2Z3F</v>
      </c>
      <c r="Q26" s="16" t="str">
        <f t="shared" si="6"/>
        <v>DBZP-2Z4F</v>
      </c>
    </row>
    <row r="27" spans="1:17" x14ac:dyDescent="0.45">
      <c r="A27" s="16" t="str">
        <f t="shared" si="4"/>
        <v>74°02'20,0" W</v>
      </c>
      <c r="B27" s="19">
        <f t="shared" si="5"/>
        <v>-74.038889222222139</v>
      </c>
      <c r="C27" s="16" t="str">
        <f t="shared" si="2"/>
        <v>DBYP-ZZOG</v>
      </c>
      <c r="D27" s="16" t="str">
        <f t="shared" si="2"/>
        <v>DBYP-ZZPG</v>
      </c>
      <c r="E27" s="16" t="str">
        <f t="shared" si="6"/>
        <v>DBYP-ZZQG</v>
      </c>
      <c r="F27" s="16" t="str">
        <f t="shared" si="6"/>
        <v>DBYP-ZZRG</v>
      </c>
      <c r="G27" s="16" t="str">
        <f t="shared" si="6"/>
        <v>DBYP-ZZSG</v>
      </c>
      <c r="H27" s="16" t="str">
        <f t="shared" si="6"/>
        <v>DBYP-ZZTG</v>
      </c>
      <c r="I27" s="16" t="str">
        <f t="shared" si="6"/>
        <v>DBYP-ZZUG</v>
      </c>
      <c r="J27" s="16" t="str">
        <f t="shared" si="6"/>
        <v>DBYP-ZZVG</v>
      </c>
      <c r="K27" s="16" t="str">
        <f t="shared" si="6"/>
        <v>DBYP-ZZWG</v>
      </c>
      <c r="L27" s="16" t="str">
        <f t="shared" si="6"/>
        <v>DBYP-ZZXG</v>
      </c>
      <c r="M27" s="16" t="str">
        <f t="shared" si="6"/>
        <v>DBYP-ZZYG</v>
      </c>
      <c r="N27" s="16" t="str">
        <f t="shared" si="6"/>
        <v>DBYP-ZZZG</v>
      </c>
      <c r="O27" s="16" t="str">
        <f t="shared" si="6"/>
        <v>DBZP-2Z2G</v>
      </c>
      <c r="P27" s="16" t="str">
        <f t="shared" si="6"/>
        <v>DBZP-2Z3G</v>
      </c>
      <c r="Q27" s="16" t="str">
        <f t="shared" si="6"/>
        <v>DBZP-2Z4G</v>
      </c>
    </row>
    <row r="28" spans="1:17" x14ac:dyDescent="0.45">
      <c r="A28" s="16" t="str">
        <f t="shared" si="4"/>
        <v>74°02'19,0" W</v>
      </c>
      <c r="B28" s="19">
        <f t="shared" si="5"/>
        <v>-74.038611444444356</v>
      </c>
      <c r="C28" s="16" t="str">
        <f t="shared" si="2"/>
        <v>DBYP-ZZOH</v>
      </c>
      <c r="D28" s="16" t="str">
        <f t="shared" si="2"/>
        <v>DBYP-ZZPH</v>
      </c>
      <c r="E28" s="16" t="str">
        <f t="shared" si="6"/>
        <v>DBYP-ZZQH</v>
      </c>
      <c r="F28" s="16" t="str">
        <f t="shared" si="6"/>
        <v>DBYP-ZZRH</v>
      </c>
      <c r="G28" s="16" t="str">
        <f t="shared" si="6"/>
        <v>DBYP-ZZSH</v>
      </c>
      <c r="H28" s="16" t="str">
        <f t="shared" si="6"/>
        <v>DBYP-ZZTH</v>
      </c>
      <c r="I28" s="16" t="str">
        <f t="shared" si="6"/>
        <v>DBYP-ZZUH</v>
      </c>
      <c r="J28" s="16" t="str">
        <f t="shared" si="6"/>
        <v>DBYP-ZZVH</v>
      </c>
      <c r="K28" s="16" t="str">
        <f t="shared" si="6"/>
        <v>DBYP-ZZWH</v>
      </c>
      <c r="L28" s="16" t="str">
        <f t="shared" si="6"/>
        <v>DBYP-ZZXH</v>
      </c>
      <c r="M28" s="16" t="str">
        <f t="shared" si="6"/>
        <v>DBYP-ZZYH</v>
      </c>
      <c r="N28" s="16" t="str">
        <f t="shared" si="6"/>
        <v>DBYP-ZZZH</v>
      </c>
      <c r="O28" s="16" t="str">
        <f t="shared" si="6"/>
        <v>DBZP-2Z2H</v>
      </c>
      <c r="P28" s="16" t="str">
        <f t="shared" si="6"/>
        <v>DBZP-2Z3H</v>
      </c>
      <c r="Q28" s="16" t="str">
        <f t="shared" si="6"/>
        <v>DBZP-2Z4H</v>
      </c>
    </row>
    <row r="29" spans="1:17" x14ac:dyDescent="0.45">
      <c r="A29" s="16" t="str">
        <f t="shared" si="4"/>
        <v>74°02'18,0" W</v>
      </c>
      <c r="B29" s="19">
        <f t="shared" si="5"/>
        <v>-74.038333666666574</v>
      </c>
      <c r="C29" s="16" t="str">
        <f t="shared" ref="C29:Q39" si="7">MakeLocationsCode(C$7,$B29)</f>
        <v>DBYP-ZZOI</v>
      </c>
      <c r="D29" s="16" t="str">
        <f t="shared" si="7"/>
        <v>DBYP-ZZPI</v>
      </c>
      <c r="E29" s="16" t="str">
        <f t="shared" si="7"/>
        <v>DBYP-ZZQI</v>
      </c>
      <c r="F29" s="16" t="str">
        <f t="shared" si="7"/>
        <v>DBYP-ZZRI</v>
      </c>
      <c r="G29" s="16" t="str">
        <f t="shared" si="7"/>
        <v>DBYP-ZZSI</v>
      </c>
      <c r="H29" s="16" t="str">
        <f t="shared" si="7"/>
        <v>DBYP-ZZTI</v>
      </c>
      <c r="I29" s="16" t="str">
        <f t="shared" si="7"/>
        <v>DBYP-ZZUI</v>
      </c>
      <c r="J29" s="16" t="str">
        <f t="shared" si="7"/>
        <v>DBYP-ZZVI</v>
      </c>
      <c r="K29" s="16" t="str">
        <f t="shared" si="7"/>
        <v>DBYP-ZZWI</v>
      </c>
      <c r="L29" s="16" t="str">
        <f t="shared" si="7"/>
        <v>DBYP-ZZXI</v>
      </c>
      <c r="M29" s="16" t="str">
        <f t="shared" si="7"/>
        <v>DBYP-ZZYI</v>
      </c>
      <c r="N29" s="16" t="str">
        <f t="shared" si="7"/>
        <v>DBYP-ZZZI</v>
      </c>
      <c r="O29" s="16" t="str">
        <f t="shared" si="7"/>
        <v>DBZP-2Z2I</v>
      </c>
      <c r="P29" s="16" t="str">
        <f t="shared" si="7"/>
        <v>DBZP-2Z3I</v>
      </c>
      <c r="Q29" s="16" t="str">
        <f t="shared" si="7"/>
        <v>DBZP-2Z4I</v>
      </c>
    </row>
    <row r="30" spans="1:17" x14ac:dyDescent="0.45">
      <c r="A30" s="16" t="str">
        <f t="shared" si="4"/>
        <v>74°02'17,0" W</v>
      </c>
      <c r="B30" s="19">
        <f t="shared" si="5"/>
        <v>-74.038055888888792</v>
      </c>
      <c r="C30" s="16" t="str">
        <f t="shared" si="7"/>
        <v>DBYP-ZZOJ</v>
      </c>
      <c r="D30" s="16" t="str">
        <f t="shared" si="7"/>
        <v>DBYP-ZZPJ</v>
      </c>
      <c r="E30" s="16" t="str">
        <f t="shared" si="7"/>
        <v>DBYP-ZZQJ</v>
      </c>
      <c r="F30" s="16" t="str">
        <f t="shared" si="7"/>
        <v>DBYP-ZZRJ</v>
      </c>
      <c r="G30" s="16" t="str">
        <f t="shared" si="7"/>
        <v>DBYP-ZZSJ</v>
      </c>
      <c r="H30" s="16" t="str">
        <f t="shared" si="7"/>
        <v>DBYP-ZZTJ</v>
      </c>
      <c r="I30" s="16" t="str">
        <f t="shared" si="7"/>
        <v>DBYP-ZZUJ</v>
      </c>
      <c r="J30" s="16" t="str">
        <f t="shared" si="7"/>
        <v>DBYP-ZZVJ</v>
      </c>
      <c r="K30" s="16" t="str">
        <f t="shared" si="7"/>
        <v>DBYP-ZZWJ</v>
      </c>
      <c r="L30" s="16" t="str">
        <f t="shared" si="7"/>
        <v>DBYP-ZZXJ</v>
      </c>
      <c r="M30" s="16" t="str">
        <f t="shared" si="7"/>
        <v>DBYP-ZZYJ</v>
      </c>
      <c r="N30" s="16" t="str">
        <f t="shared" si="7"/>
        <v>DBYP-ZZZJ</v>
      </c>
      <c r="O30" s="16" t="str">
        <f t="shared" si="7"/>
        <v>DBZP-2Z2J</v>
      </c>
      <c r="P30" s="16" t="str">
        <f t="shared" si="7"/>
        <v>DBZP-2Z3J</v>
      </c>
      <c r="Q30" s="16" t="str">
        <f t="shared" si="7"/>
        <v>DBZP-2Z4J</v>
      </c>
    </row>
    <row r="31" spans="1:17" x14ac:dyDescent="0.45">
      <c r="A31" s="16" t="str">
        <f t="shared" si="4"/>
        <v>74°02'16,0" W</v>
      </c>
      <c r="B31" s="19">
        <f t="shared" si="5"/>
        <v>-74.03777811111101</v>
      </c>
      <c r="C31" s="16" t="str">
        <f t="shared" si="7"/>
        <v>DBYP-ZZOK</v>
      </c>
      <c r="D31" s="16" t="str">
        <f t="shared" si="7"/>
        <v>DBYP-ZZPK</v>
      </c>
      <c r="E31" s="16" t="str">
        <f t="shared" si="7"/>
        <v>DBYP-ZZQK</v>
      </c>
      <c r="F31" s="16" t="str">
        <f t="shared" si="7"/>
        <v>DBYP-ZZRK</v>
      </c>
      <c r="G31" s="16" t="str">
        <f t="shared" si="7"/>
        <v>DBYP-ZZSK</v>
      </c>
      <c r="H31" s="16" t="str">
        <f t="shared" si="7"/>
        <v>DBYP-ZZTK</v>
      </c>
      <c r="I31" s="16" t="str">
        <f t="shared" si="7"/>
        <v>DBYP-ZZUK</v>
      </c>
      <c r="J31" s="16" t="str">
        <f t="shared" si="7"/>
        <v>DBYP-ZZVK</v>
      </c>
      <c r="K31" s="16" t="str">
        <f t="shared" si="7"/>
        <v>DBYP-ZZWK</v>
      </c>
      <c r="L31" s="16" t="str">
        <f t="shared" si="7"/>
        <v>DBYP-ZZXK</v>
      </c>
      <c r="M31" s="16" t="str">
        <f t="shared" si="7"/>
        <v>DBYP-ZZYK</v>
      </c>
      <c r="N31" s="16" t="str">
        <f t="shared" si="7"/>
        <v>DBYP-ZZZK</v>
      </c>
      <c r="O31" s="16" t="str">
        <f t="shared" si="7"/>
        <v>DBZP-2Z2K</v>
      </c>
      <c r="P31" s="16" t="str">
        <f t="shared" si="7"/>
        <v>DBZP-2Z3K</v>
      </c>
      <c r="Q31" s="16" t="str">
        <f t="shared" si="7"/>
        <v>DBZP-2Z4K</v>
      </c>
    </row>
    <row r="32" spans="1:17" x14ac:dyDescent="0.45">
      <c r="A32" s="16" t="str">
        <f t="shared" si="4"/>
        <v>74°02'15,0" W</v>
      </c>
      <c r="B32" s="19">
        <f t="shared" si="5"/>
        <v>-74.037500333333227</v>
      </c>
      <c r="C32" s="16" t="str">
        <f t="shared" si="7"/>
        <v>DBYP-ZZOL</v>
      </c>
      <c r="D32" s="16" t="str">
        <f t="shared" si="7"/>
        <v>DBYP-ZZPL</v>
      </c>
      <c r="E32" s="16" t="str">
        <f t="shared" si="7"/>
        <v>DBYP-ZZQL</v>
      </c>
      <c r="F32" s="16" t="str">
        <f t="shared" si="7"/>
        <v>DBYP-ZZRL</v>
      </c>
      <c r="G32" s="16" t="str">
        <f t="shared" si="7"/>
        <v>DBYP-ZZSL</v>
      </c>
      <c r="H32" s="16" t="str">
        <f t="shared" si="7"/>
        <v>DBYP-ZZTL</v>
      </c>
      <c r="I32" s="16" t="str">
        <f t="shared" si="7"/>
        <v>DBYP-ZZUL</v>
      </c>
      <c r="J32" s="16" t="str">
        <f t="shared" si="7"/>
        <v>DBYP-ZZVL</v>
      </c>
      <c r="K32" s="16" t="str">
        <f t="shared" si="7"/>
        <v>DBYP-ZZWL</v>
      </c>
      <c r="L32" s="16" t="str">
        <f t="shared" si="7"/>
        <v>DBYP-ZZXL</v>
      </c>
      <c r="M32" s="16" t="str">
        <f t="shared" si="7"/>
        <v>DBYP-ZZYL</v>
      </c>
      <c r="N32" s="16" t="str">
        <f t="shared" si="7"/>
        <v>DBYP-ZZZL</v>
      </c>
      <c r="O32" s="16" t="str">
        <f t="shared" si="7"/>
        <v>DBZP-2Z2L</v>
      </c>
      <c r="P32" s="16" t="str">
        <f t="shared" si="7"/>
        <v>DBZP-2Z3L</v>
      </c>
      <c r="Q32" s="16" t="str">
        <f t="shared" si="7"/>
        <v>DBZP-2Z4L</v>
      </c>
    </row>
    <row r="33" spans="1:17" x14ac:dyDescent="0.45">
      <c r="A33" s="16" t="str">
        <f t="shared" si="4"/>
        <v>74°02'14,0" W</v>
      </c>
      <c r="B33" s="19">
        <f t="shared" si="5"/>
        <v>-74.037222555555445</v>
      </c>
      <c r="C33" s="16" t="str">
        <f t="shared" si="7"/>
        <v>DBYP-ZZOM</v>
      </c>
      <c r="D33" s="16" t="str">
        <f t="shared" si="7"/>
        <v>DBYP-ZZPM</v>
      </c>
      <c r="E33" s="16" t="str">
        <f t="shared" si="7"/>
        <v>DBYP-ZZQM</v>
      </c>
      <c r="F33" s="16" t="str">
        <f t="shared" si="7"/>
        <v>DBYP-ZZRM</v>
      </c>
      <c r="G33" s="16" t="str">
        <f t="shared" si="7"/>
        <v>DBYP-ZZSM</v>
      </c>
      <c r="H33" s="16" t="str">
        <f t="shared" si="7"/>
        <v>DBYP-ZZTM</v>
      </c>
      <c r="I33" s="16" t="str">
        <f t="shared" si="7"/>
        <v>DBYP-ZZUM</v>
      </c>
      <c r="J33" s="16" t="str">
        <f t="shared" si="7"/>
        <v>DBYP-ZZVM</v>
      </c>
      <c r="K33" s="16" t="str">
        <f t="shared" si="7"/>
        <v>DBYP-ZZWM</v>
      </c>
      <c r="L33" s="16" t="str">
        <f t="shared" si="7"/>
        <v>DBYP-ZZXM</v>
      </c>
      <c r="M33" s="16" t="str">
        <f t="shared" si="7"/>
        <v>DBYP-ZZYM</v>
      </c>
      <c r="N33" s="16" t="str">
        <f t="shared" si="7"/>
        <v>DBYP-ZZZM</v>
      </c>
      <c r="O33" s="16" t="str">
        <f t="shared" si="7"/>
        <v>DBZP-2Z2M</v>
      </c>
      <c r="P33" s="16" t="str">
        <f t="shared" si="7"/>
        <v>DBZP-2Z3M</v>
      </c>
      <c r="Q33" s="16" t="str">
        <f t="shared" si="7"/>
        <v>DBZP-2Z4M</v>
      </c>
    </row>
    <row r="34" spans="1:17" x14ac:dyDescent="0.45">
      <c r="A34" s="16" t="str">
        <f t="shared" si="4"/>
        <v>74°02'13,0" W</v>
      </c>
      <c r="B34" s="19">
        <f t="shared" si="5"/>
        <v>-74.036944777777663</v>
      </c>
      <c r="C34" s="16" t="str">
        <f t="shared" si="7"/>
        <v>DBYP-ZZON</v>
      </c>
      <c r="D34" s="16" t="str">
        <f t="shared" si="7"/>
        <v>DBYP-ZZPN</v>
      </c>
      <c r="E34" s="16" t="str">
        <f t="shared" si="7"/>
        <v>DBYP-ZZQN</v>
      </c>
      <c r="F34" s="16" t="str">
        <f t="shared" si="7"/>
        <v>DBYP-ZZRN</v>
      </c>
      <c r="G34" s="16" t="str">
        <f t="shared" si="7"/>
        <v>DBYP-ZZSN</v>
      </c>
      <c r="H34" s="16" t="str">
        <f t="shared" si="7"/>
        <v>DBYP-ZZTN</v>
      </c>
      <c r="I34" s="16" t="str">
        <f t="shared" si="7"/>
        <v>DBYP-ZZUN</v>
      </c>
      <c r="J34" s="16" t="str">
        <f t="shared" si="7"/>
        <v>DBYP-ZZVN</v>
      </c>
      <c r="K34" s="16" t="str">
        <f t="shared" si="7"/>
        <v>DBYP-ZZWN</v>
      </c>
      <c r="L34" s="16" t="str">
        <f t="shared" si="7"/>
        <v>DBYP-ZZXN</v>
      </c>
      <c r="M34" s="16" t="str">
        <f t="shared" si="7"/>
        <v>DBYP-ZZYN</v>
      </c>
      <c r="N34" s="16" t="str">
        <f t="shared" si="7"/>
        <v>DBYP-ZZZN</v>
      </c>
      <c r="O34" s="16" t="str">
        <f t="shared" si="7"/>
        <v>DBZP-2Z2N</v>
      </c>
      <c r="P34" s="16" t="str">
        <f t="shared" si="7"/>
        <v>DBZP-2Z3N</v>
      </c>
      <c r="Q34" s="16" t="str">
        <f t="shared" si="7"/>
        <v>DBZP-2Z4N</v>
      </c>
    </row>
    <row r="35" spans="1:17" x14ac:dyDescent="0.45">
      <c r="A35" s="16" t="str">
        <f t="shared" si="4"/>
        <v>74°02'12,0" W</v>
      </c>
      <c r="B35" s="19">
        <f t="shared" si="5"/>
        <v>-74.036666999999881</v>
      </c>
      <c r="C35" s="16" t="str">
        <f t="shared" si="7"/>
        <v>DBYP-ZZOO</v>
      </c>
      <c r="D35" s="16" t="str">
        <f t="shared" si="7"/>
        <v>DBYP-ZZPO</v>
      </c>
      <c r="E35" s="16" t="str">
        <f t="shared" si="7"/>
        <v>DBYP-ZZQO</v>
      </c>
      <c r="F35" s="16" t="str">
        <f t="shared" si="7"/>
        <v>DBYP-ZZRO</v>
      </c>
      <c r="G35" s="16" t="str">
        <f t="shared" si="7"/>
        <v>DBYP-ZZSO</v>
      </c>
      <c r="H35" s="16" t="str">
        <f t="shared" si="7"/>
        <v>DBYP-ZZTO</v>
      </c>
      <c r="I35" s="16" t="str">
        <f t="shared" si="7"/>
        <v>DBYP-ZZUO</v>
      </c>
      <c r="J35" s="16" t="str">
        <f t="shared" si="7"/>
        <v>DBYP-ZZVO</v>
      </c>
      <c r="K35" s="16" t="str">
        <f t="shared" si="7"/>
        <v>DBYP-ZZWO</v>
      </c>
      <c r="L35" s="16" t="str">
        <f t="shared" si="7"/>
        <v>DBYP-ZZXO</v>
      </c>
      <c r="M35" s="16" t="str">
        <f t="shared" si="7"/>
        <v>DBYP-ZZYO</v>
      </c>
      <c r="N35" s="16" t="str">
        <f t="shared" si="7"/>
        <v>DBYP-ZZZO</v>
      </c>
      <c r="O35" s="16" t="str">
        <f t="shared" si="7"/>
        <v>DBZP-2Z2O</v>
      </c>
      <c r="P35" s="16" t="str">
        <f t="shared" si="7"/>
        <v>DBZP-2Z3O</v>
      </c>
      <c r="Q35" s="16" t="str">
        <f t="shared" si="7"/>
        <v>DBZP-2Z4O</v>
      </c>
    </row>
    <row r="36" spans="1:17" x14ac:dyDescent="0.45">
      <c r="A36" s="16" t="str">
        <f t="shared" si="4"/>
        <v>74°02'11,0" W</v>
      </c>
      <c r="B36" s="19">
        <f t="shared" si="5"/>
        <v>-74.036389222222098</v>
      </c>
      <c r="C36" s="16" t="str">
        <f t="shared" si="7"/>
        <v>DBYP-ZZOP</v>
      </c>
      <c r="D36" s="16" t="str">
        <f t="shared" si="7"/>
        <v>DBYP-ZZPP</v>
      </c>
      <c r="E36" s="16" t="str">
        <f t="shared" si="7"/>
        <v>DBYP-ZZQP</v>
      </c>
      <c r="F36" s="16" t="str">
        <f t="shared" si="7"/>
        <v>DBYP-ZZRP</v>
      </c>
      <c r="G36" s="16" t="str">
        <f t="shared" si="7"/>
        <v>DBYP-ZZSP</v>
      </c>
      <c r="H36" s="16" t="str">
        <f t="shared" si="7"/>
        <v>DBYP-ZZTP</v>
      </c>
      <c r="I36" s="16" t="str">
        <f t="shared" si="7"/>
        <v>DBYP-ZZUP</v>
      </c>
      <c r="J36" s="16" t="str">
        <f t="shared" si="7"/>
        <v>DBYP-ZZVP</v>
      </c>
      <c r="K36" s="16" t="str">
        <f t="shared" si="7"/>
        <v>DBYP-ZZWP</v>
      </c>
      <c r="L36" s="16" t="str">
        <f t="shared" si="7"/>
        <v>DBYP-ZZXP</v>
      </c>
      <c r="M36" s="16" t="str">
        <f t="shared" si="7"/>
        <v>DBYP-ZZYP</v>
      </c>
      <c r="N36" s="16" t="str">
        <f t="shared" si="7"/>
        <v>DBYP-ZZZP</v>
      </c>
      <c r="O36" s="16" t="str">
        <f t="shared" si="7"/>
        <v>DBZP-2Z2P</v>
      </c>
      <c r="P36" s="16" t="str">
        <f t="shared" si="7"/>
        <v>DBZP-2Z3P</v>
      </c>
      <c r="Q36" s="16" t="str">
        <f t="shared" si="7"/>
        <v>DBZP-2Z4P</v>
      </c>
    </row>
    <row r="37" spans="1:17" x14ac:dyDescent="0.45">
      <c r="A37" s="16" t="str">
        <f t="shared" si="4"/>
        <v>74°02'10,0" W</v>
      </c>
      <c r="B37" s="19">
        <f t="shared" si="5"/>
        <v>-74.036111444444316</v>
      </c>
      <c r="C37" s="16" t="str">
        <f t="shared" si="7"/>
        <v>DBYP-ZZOQ</v>
      </c>
      <c r="D37" s="16" t="str">
        <f t="shared" si="7"/>
        <v>DBYP-ZZPQ</v>
      </c>
      <c r="E37" s="16" t="str">
        <f t="shared" si="7"/>
        <v>DBYP-ZZQQ</v>
      </c>
      <c r="F37" s="16" t="str">
        <f t="shared" si="7"/>
        <v>DBYP-ZZRQ</v>
      </c>
      <c r="G37" s="16" t="str">
        <f t="shared" si="7"/>
        <v>DBYP-ZZSQ</v>
      </c>
      <c r="H37" s="16" t="str">
        <f t="shared" si="7"/>
        <v>DBYP-ZZTQ</v>
      </c>
      <c r="I37" s="16" t="str">
        <f t="shared" si="7"/>
        <v>DBYP-ZZUQ</v>
      </c>
      <c r="J37" s="16" t="str">
        <f t="shared" si="7"/>
        <v>DBYP-ZZVQ</v>
      </c>
      <c r="K37" s="16" t="str">
        <f t="shared" si="7"/>
        <v>DBYP-ZZWQ</v>
      </c>
      <c r="L37" s="16" t="str">
        <f t="shared" si="7"/>
        <v>DBYP-ZZXQ</v>
      </c>
      <c r="M37" s="16" t="str">
        <f t="shared" si="7"/>
        <v>DBYP-ZZYQ</v>
      </c>
      <c r="N37" s="16" t="str">
        <f t="shared" si="7"/>
        <v>DBYP-ZZZQ</v>
      </c>
      <c r="O37" s="16" t="str">
        <f t="shared" si="7"/>
        <v>DBZP-2Z2Q</v>
      </c>
      <c r="P37" s="16" t="str">
        <f t="shared" si="7"/>
        <v>DBZP-2Z3Q</v>
      </c>
      <c r="Q37" s="16" t="str">
        <f t="shared" si="7"/>
        <v>DBZP-2Z4Q</v>
      </c>
    </row>
    <row r="38" spans="1:17" x14ac:dyDescent="0.45">
      <c r="A38" s="16" t="str">
        <f t="shared" si="4"/>
        <v>74°02'9,0" W</v>
      </c>
      <c r="B38" s="19">
        <f t="shared" si="5"/>
        <v>-74.035833666666534</v>
      </c>
      <c r="C38" s="16" t="str">
        <f t="shared" si="7"/>
        <v>DBYP-ZZOR</v>
      </c>
      <c r="D38" s="16" t="str">
        <f t="shared" si="7"/>
        <v>DBYP-ZZPR</v>
      </c>
      <c r="E38" s="16" t="str">
        <f t="shared" si="7"/>
        <v>DBYP-ZZQR</v>
      </c>
      <c r="F38" s="16" t="str">
        <f t="shared" si="7"/>
        <v>DBYP-ZZRR</v>
      </c>
      <c r="G38" s="16" t="str">
        <f t="shared" si="7"/>
        <v>DBYP-ZZSR</v>
      </c>
      <c r="H38" s="16" t="str">
        <f t="shared" si="7"/>
        <v>DBYP-ZZTR</v>
      </c>
      <c r="I38" s="16" t="str">
        <f t="shared" si="7"/>
        <v>DBYP-ZZUR</v>
      </c>
      <c r="J38" s="16" t="str">
        <f t="shared" si="7"/>
        <v>DBYP-ZZVR</v>
      </c>
      <c r="K38" s="16" t="str">
        <f t="shared" si="7"/>
        <v>DBYP-ZZWR</v>
      </c>
      <c r="L38" s="16" t="str">
        <f t="shared" si="7"/>
        <v>DBYP-ZZXR</v>
      </c>
      <c r="M38" s="16" t="str">
        <f t="shared" si="7"/>
        <v>DBYP-ZZYR</v>
      </c>
      <c r="N38" s="16" t="str">
        <f t="shared" si="7"/>
        <v>DBYP-ZZZR</v>
      </c>
      <c r="O38" s="16" t="str">
        <f t="shared" si="7"/>
        <v>DBZP-2Z2R</v>
      </c>
      <c r="P38" s="16" t="str">
        <f t="shared" si="7"/>
        <v>DBZP-2Z3R</v>
      </c>
      <c r="Q38" s="16" t="str">
        <f t="shared" si="7"/>
        <v>DBZP-2Z4R</v>
      </c>
    </row>
    <row r="39" spans="1:17" x14ac:dyDescent="0.45">
      <c r="A39" s="16" t="str">
        <f t="shared" si="4"/>
        <v>74°02'8,0" W</v>
      </c>
      <c r="B39" s="19">
        <f t="shared" si="5"/>
        <v>-74.035555888888751</v>
      </c>
      <c r="C39" s="16" t="str">
        <f t="shared" si="7"/>
        <v>DBYP-ZZOS</v>
      </c>
      <c r="D39" s="16" t="str">
        <f t="shared" si="7"/>
        <v>DBYP-ZZPS</v>
      </c>
      <c r="E39" s="16" t="str">
        <f t="shared" si="7"/>
        <v>DBYP-ZZQS</v>
      </c>
      <c r="F39" s="16" t="str">
        <f t="shared" si="7"/>
        <v>DBYP-ZZRS</v>
      </c>
      <c r="G39" s="16" t="str">
        <f t="shared" si="7"/>
        <v>DBYP-ZZSS</v>
      </c>
      <c r="H39" s="16" t="str">
        <f t="shared" si="7"/>
        <v>DBYP-ZZTS</v>
      </c>
      <c r="I39" s="16" t="str">
        <f t="shared" si="7"/>
        <v>DBYP-ZZUS</v>
      </c>
      <c r="J39" s="16" t="str">
        <f t="shared" si="7"/>
        <v>DBYP-ZZVS</v>
      </c>
      <c r="K39" s="16" t="str">
        <f t="shared" si="7"/>
        <v>DBYP-ZZWS</v>
      </c>
      <c r="L39" s="16" t="str">
        <f t="shared" si="7"/>
        <v>DBYP-ZZXS</v>
      </c>
      <c r="M39" s="16" t="str">
        <f t="shared" si="7"/>
        <v>DBYP-ZZYS</v>
      </c>
      <c r="N39" s="16" t="str">
        <f t="shared" si="7"/>
        <v>DBYP-ZZZS</v>
      </c>
      <c r="O39" s="16" t="str">
        <f t="shared" si="7"/>
        <v>DBZP-2Z2S</v>
      </c>
      <c r="P39" s="16" t="str">
        <f t="shared" si="7"/>
        <v>DBZP-2Z3S</v>
      </c>
      <c r="Q39" s="16" t="str">
        <f t="shared" si="7"/>
        <v>DBZP-2Z4S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link">
          <controlPr defaultSize="0" autoLine="0" autoPict="0" r:id="rId4">
            <anchor moveWithCells="1">
              <from>
                <xdr:col>2</xdr:col>
                <xdr:colOff>22860</xdr:colOff>
                <xdr:row>1</xdr:row>
                <xdr:rowOff>15240</xdr:rowOff>
              </from>
              <to>
                <xdr:col>3</xdr:col>
                <xdr:colOff>541020</xdr:colOff>
                <xdr:row>3</xdr:row>
                <xdr:rowOff>30480</xdr:rowOff>
              </to>
            </anchor>
          </controlPr>
        </control>
      </mc:Choice>
      <mc:Fallback>
        <control shapeId="2049" r:id="rId3" name="cmdlink"/>
      </mc:Fallback>
    </mc:AlternateContent>
    <mc:AlternateContent xmlns:mc="http://schemas.openxmlformats.org/markup-compatibility/2006">
      <mc:Choice Requires="x14">
        <control shapeId="2050" r:id="rId5" name="RemoveLink">
          <controlPr defaultSize="0" autoLine="0" autoPict="0" r:id="rId6">
            <anchor moveWithCells="1">
              <from>
                <xdr:col>3</xdr:col>
                <xdr:colOff>800100</xdr:colOff>
                <xdr:row>0</xdr:row>
                <xdr:rowOff>114300</xdr:rowOff>
              </from>
              <to>
                <xdr:col>5</xdr:col>
                <xdr:colOff>510540</xdr:colOff>
                <xdr:row>2</xdr:row>
                <xdr:rowOff>129540</xdr:rowOff>
              </to>
            </anchor>
          </controlPr>
        </control>
      </mc:Choice>
      <mc:Fallback>
        <control shapeId="2050" r:id="rId5" name="RemoveLink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3E7EC-D1E5-4693-A4E8-2246535D1611}">
  <dimension ref="A1:I634"/>
  <sheetViews>
    <sheetView zoomScaleNormal="100" workbookViewId="0">
      <selection activeCell="I7" sqref="I7"/>
    </sheetView>
  </sheetViews>
  <sheetFormatPr defaultRowHeight="13.2" x14ac:dyDescent="0.25"/>
  <cols>
    <col min="1" max="1" width="22.33203125" bestFit="1" customWidth="1"/>
    <col min="2" max="2" width="6.44140625" bestFit="1" customWidth="1"/>
    <col min="3" max="3" width="9" bestFit="1" customWidth="1"/>
    <col min="4" max="4" width="10.21875" bestFit="1" customWidth="1"/>
    <col min="5" max="6" width="8.77734375" customWidth="1"/>
    <col min="7" max="7" width="11.33203125" style="24" bestFit="1" customWidth="1"/>
    <col min="9" max="9" width="38.77734375" bestFit="1" customWidth="1"/>
  </cols>
  <sheetData>
    <row r="1" spans="1:9" ht="22.8" customHeight="1" x14ac:dyDescent="0.45">
      <c r="A1" s="20" t="s">
        <v>13</v>
      </c>
      <c r="B1" s="20" t="s">
        <v>14</v>
      </c>
      <c r="C1" s="20" t="s">
        <v>15</v>
      </c>
      <c r="D1" s="20" t="s">
        <v>16</v>
      </c>
      <c r="E1" s="21" t="s">
        <v>17</v>
      </c>
      <c r="F1" s="21" t="s">
        <v>18</v>
      </c>
      <c r="G1" s="22" t="s">
        <v>19</v>
      </c>
      <c r="I1" s="16" t="s">
        <v>683</v>
      </c>
    </row>
    <row r="2" spans="1:9" ht="15.6" x14ac:dyDescent="0.45">
      <c r="A2" s="16" t="s">
        <v>20</v>
      </c>
      <c r="B2" s="16" t="s">
        <v>21</v>
      </c>
      <c r="C2" s="16" t="s">
        <v>22</v>
      </c>
      <c r="D2" s="16" t="s">
        <v>23</v>
      </c>
      <c r="E2" s="17">
        <v>45.636600000000001</v>
      </c>
      <c r="F2" s="17">
        <v>-122.5967</v>
      </c>
      <c r="G2" s="23" t="str">
        <f>MakeLocationsCode(E2,F2)</f>
        <v>E7GA-FSK2</v>
      </c>
    </row>
    <row r="3" spans="1:9" ht="15.6" x14ac:dyDescent="0.45">
      <c r="A3" s="16" t="s">
        <v>24</v>
      </c>
      <c r="B3" s="16" t="s">
        <v>21</v>
      </c>
      <c r="C3" s="16" t="s">
        <v>22</v>
      </c>
      <c r="D3" s="16" t="s">
        <v>23</v>
      </c>
      <c r="E3" s="17">
        <v>45.657699999999998</v>
      </c>
      <c r="F3" s="17">
        <v>-122.6204</v>
      </c>
      <c r="G3" s="23" t="str">
        <f>MakeLocationsCode(E3,F3)</f>
        <v>E7GA-HPSJ</v>
      </c>
    </row>
    <row r="4" spans="1:9" ht="15.6" x14ac:dyDescent="0.45">
      <c r="A4" s="16" t="s">
        <v>25</v>
      </c>
      <c r="B4" s="16" t="s">
        <v>21</v>
      </c>
      <c r="C4" s="16" t="s">
        <v>22</v>
      </c>
      <c r="D4" s="16" t="s">
        <v>23</v>
      </c>
      <c r="E4" s="17">
        <v>45.679699999999997</v>
      </c>
      <c r="F4" s="17">
        <v>-122.6553</v>
      </c>
      <c r="G4" s="23" t="str">
        <f>MakeLocationsCode(E4,F4)</f>
        <v>E7GA-KL5T</v>
      </c>
    </row>
    <row r="5" spans="1:9" ht="15.6" x14ac:dyDescent="0.45">
      <c r="A5" s="16" t="s">
        <v>26</v>
      </c>
      <c r="B5" s="16" t="s">
        <v>21</v>
      </c>
      <c r="C5" s="16" t="s">
        <v>22</v>
      </c>
      <c r="D5" s="16" t="s">
        <v>23</v>
      </c>
      <c r="E5" s="17">
        <v>45.691099999999999</v>
      </c>
      <c r="F5" s="17">
        <v>-122.69110000000001</v>
      </c>
      <c r="G5" s="23" t="str">
        <f>MakeLocationsCode(E5,F5)</f>
        <v>E7GA-LIC2</v>
      </c>
    </row>
    <row r="6" spans="1:9" ht="15.6" x14ac:dyDescent="0.45">
      <c r="A6" s="16" t="s">
        <v>27</v>
      </c>
      <c r="B6" s="16" t="s">
        <v>21</v>
      </c>
      <c r="C6" s="16" t="s">
        <v>22</v>
      </c>
      <c r="D6" s="16" t="s">
        <v>23</v>
      </c>
      <c r="E6" s="17">
        <v>45.688299999999998</v>
      </c>
      <c r="F6" s="17">
        <v>-122.57380000000001</v>
      </c>
      <c r="G6" s="23" t="str">
        <f>MakeLocationsCode(E6,F6)</f>
        <v>E7GA-LU2G</v>
      </c>
    </row>
    <row r="7" spans="1:9" ht="15.6" x14ac:dyDescent="0.45">
      <c r="A7" s="16" t="s">
        <v>28</v>
      </c>
      <c r="B7" s="16" t="s">
        <v>21</v>
      </c>
      <c r="C7" s="16" t="s">
        <v>22</v>
      </c>
      <c r="D7" s="16" t="s">
        <v>23</v>
      </c>
      <c r="E7" s="17">
        <v>45.689</v>
      </c>
      <c r="F7" s="17">
        <v>-122.53060000000001</v>
      </c>
      <c r="G7" s="23" t="str">
        <f>MakeLocationsCode(E7,F7)</f>
        <v>E7GA-LZ42</v>
      </c>
    </row>
    <row r="8" spans="1:9" ht="15.6" x14ac:dyDescent="0.45">
      <c r="A8" s="16" t="s">
        <v>29</v>
      </c>
      <c r="B8" s="16" t="s">
        <v>21</v>
      </c>
      <c r="C8" s="16" t="s">
        <v>22</v>
      </c>
      <c r="D8" s="16" t="s">
        <v>23</v>
      </c>
      <c r="E8" s="17">
        <v>45.713799999999999</v>
      </c>
      <c r="F8" s="17">
        <v>-122.7103</v>
      </c>
      <c r="G8" s="23" t="str">
        <f>MakeLocationsCode(E8,F8)</f>
        <v>E7GA-NFQZ</v>
      </c>
    </row>
    <row r="9" spans="1:9" ht="15.6" x14ac:dyDescent="0.45">
      <c r="A9" s="16" t="s">
        <v>30</v>
      </c>
      <c r="B9" s="16" t="s">
        <v>21</v>
      </c>
      <c r="C9" s="16" t="s">
        <v>22</v>
      </c>
      <c r="D9" s="16" t="s">
        <v>23</v>
      </c>
      <c r="E9" s="17">
        <v>45.709899999999998</v>
      </c>
      <c r="F9" s="17">
        <v>-122.6632</v>
      </c>
      <c r="G9" s="23" t="str">
        <f>MakeLocationsCode(E9,F9)</f>
        <v>E7GA-NKCY</v>
      </c>
    </row>
    <row r="10" spans="1:9" ht="15.6" x14ac:dyDescent="0.45">
      <c r="A10" s="16" t="s">
        <v>31</v>
      </c>
      <c r="B10" s="16" t="s">
        <v>21</v>
      </c>
      <c r="C10" s="16" t="s">
        <v>22</v>
      </c>
      <c r="D10" s="16" t="s">
        <v>23</v>
      </c>
      <c r="E10" s="17">
        <v>45.7136</v>
      </c>
      <c r="F10" s="17">
        <v>-122.61150000000001</v>
      </c>
      <c r="G10" s="23" t="str">
        <f>MakeLocationsCode(E10,F10)</f>
        <v>E7GA-NQPH</v>
      </c>
    </row>
    <row r="11" spans="1:9" ht="15.6" x14ac:dyDescent="0.45">
      <c r="A11" s="16" t="s">
        <v>32</v>
      </c>
      <c r="B11" s="16" t="s">
        <v>21</v>
      </c>
      <c r="C11" s="16" t="s">
        <v>22</v>
      </c>
      <c r="D11" s="16" t="s">
        <v>23</v>
      </c>
      <c r="E11" s="17">
        <v>45.725000000000001</v>
      </c>
      <c r="F11" s="17">
        <v>-122.5483</v>
      </c>
      <c r="G11" s="23" t="str">
        <f>MakeLocationsCode(E11,F11)</f>
        <v>E7GA-OXW6</v>
      </c>
    </row>
    <row r="12" spans="1:9" ht="15.6" x14ac:dyDescent="0.45">
      <c r="A12" s="16" t="s">
        <v>33</v>
      </c>
      <c r="B12" s="16" t="s">
        <v>21</v>
      </c>
      <c r="C12" s="16" t="s">
        <v>22</v>
      </c>
      <c r="D12" s="16" t="s">
        <v>23</v>
      </c>
      <c r="E12" s="17">
        <v>45.737299999999998</v>
      </c>
      <c r="F12" s="17">
        <v>-122.63160000000001</v>
      </c>
      <c r="G12" s="23" t="str">
        <f>MakeLocationsCode(E12,F12)</f>
        <v>E7GA-QO8C</v>
      </c>
    </row>
    <row r="13" spans="1:9" ht="15.6" x14ac:dyDescent="0.45">
      <c r="A13" s="16" t="s">
        <v>34</v>
      </c>
      <c r="B13" s="16" t="s">
        <v>21</v>
      </c>
      <c r="C13" s="16" t="s">
        <v>22</v>
      </c>
      <c r="D13" s="16" t="s">
        <v>23</v>
      </c>
      <c r="E13" s="17">
        <v>45.752400000000002</v>
      </c>
      <c r="F13" s="17">
        <v>-122.5615</v>
      </c>
      <c r="G13" s="23" t="str">
        <f>MakeLocationsCode(E13,F13)</f>
        <v>E7GA-RVTR</v>
      </c>
    </row>
    <row r="14" spans="1:9" ht="15.6" x14ac:dyDescent="0.45">
      <c r="A14" s="16" t="s">
        <v>35</v>
      </c>
      <c r="B14" s="16" t="s">
        <v>21</v>
      </c>
      <c r="C14" s="16" t="s">
        <v>22</v>
      </c>
      <c r="D14" s="16" t="s">
        <v>23</v>
      </c>
      <c r="E14" s="17">
        <v>45.776600000000002</v>
      </c>
      <c r="F14" s="17">
        <v>-122.54130000000001</v>
      </c>
      <c r="G14" s="23" t="str">
        <f>MakeLocationsCode(E14,F14)</f>
        <v>E7GA-UXEV</v>
      </c>
    </row>
    <row r="15" spans="1:9" ht="15.6" x14ac:dyDescent="0.45">
      <c r="A15" s="16" t="s">
        <v>36</v>
      </c>
      <c r="B15" s="16" t="s">
        <v>21</v>
      </c>
      <c r="C15" s="16" t="s">
        <v>22</v>
      </c>
      <c r="D15" s="16" t="s">
        <v>23</v>
      </c>
      <c r="E15" s="17">
        <v>45.783799999999999</v>
      </c>
      <c r="F15" s="17">
        <v>-122.64700000000001</v>
      </c>
      <c r="G15" s="23" t="str">
        <f>MakeLocationsCode(E15,F15)</f>
        <v>E7GA-VM6P</v>
      </c>
    </row>
    <row r="16" spans="1:9" ht="15.6" x14ac:dyDescent="0.45">
      <c r="A16" s="16" t="s">
        <v>37</v>
      </c>
      <c r="B16" s="16" t="s">
        <v>21</v>
      </c>
      <c r="C16" s="16" t="s">
        <v>22</v>
      </c>
      <c r="D16" s="16" t="s">
        <v>23</v>
      </c>
      <c r="E16" s="17">
        <v>45.802199999999999</v>
      </c>
      <c r="F16" s="17">
        <v>-122.5767</v>
      </c>
      <c r="G16" s="23" t="str">
        <f>MakeLocationsCode(E16,F16)</f>
        <v>E7GA-XU46</v>
      </c>
    </row>
    <row r="17" spans="1:7" ht="15.6" x14ac:dyDescent="0.45">
      <c r="A17" s="16" t="s">
        <v>38</v>
      </c>
      <c r="B17" s="16" t="s">
        <v>21</v>
      </c>
      <c r="C17" s="16" t="s">
        <v>22</v>
      </c>
      <c r="D17" s="16" t="s">
        <v>23</v>
      </c>
      <c r="E17" s="17">
        <v>45.811399999999999</v>
      </c>
      <c r="F17" s="17">
        <v>-122.7051</v>
      </c>
      <c r="G17" s="23" t="str">
        <f>MakeLocationsCode(E17,F17)</f>
        <v>E7GA-YG3K</v>
      </c>
    </row>
    <row r="18" spans="1:7" ht="15.6" x14ac:dyDescent="0.45">
      <c r="A18" s="16" t="s">
        <v>39</v>
      </c>
      <c r="B18" s="16" t="s">
        <v>21</v>
      </c>
      <c r="C18" s="16" t="s">
        <v>22</v>
      </c>
      <c r="D18" s="16" t="s">
        <v>23</v>
      </c>
      <c r="E18" s="17">
        <v>45.582500000000003</v>
      </c>
      <c r="F18" s="17">
        <v>-122.3451</v>
      </c>
      <c r="G18" s="23" t="str">
        <f>MakeLocationsCode(E18,F18)</f>
        <v>E7GB-9KTO</v>
      </c>
    </row>
    <row r="19" spans="1:7" ht="15.6" x14ac:dyDescent="0.45">
      <c r="A19" s="16" t="s">
        <v>40</v>
      </c>
      <c r="B19" s="16" t="s">
        <v>21</v>
      </c>
      <c r="C19" s="16" t="s">
        <v>22</v>
      </c>
      <c r="D19" s="16" t="s">
        <v>23</v>
      </c>
      <c r="E19" s="17">
        <v>45.600499999999997</v>
      </c>
      <c r="F19" s="17">
        <v>-122.43040000000001</v>
      </c>
      <c r="G19" s="23" t="str">
        <f>MakeLocationsCode(E19,F19)</f>
        <v>E7GB-BBQN</v>
      </c>
    </row>
    <row r="20" spans="1:7" ht="15.6" x14ac:dyDescent="0.45">
      <c r="A20" s="16" t="s">
        <v>41</v>
      </c>
      <c r="B20" s="16" t="s">
        <v>21</v>
      </c>
      <c r="C20" s="16" t="s">
        <v>22</v>
      </c>
      <c r="D20" s="16" t="s">
        <v>23</v>
      </c>
      <c r="E20" s="17">
        <v>45.637</v>
      </c>
      <c r="F20" s="17">
        <v>-122.3963</v>
      </c>
      <c r="G20" s="23" t="str">
        <f>MakeLocationsCode(E20,F20)</f>
        <v>E7GB-FFL9</v>
      </c>
    </row>
    <row r="21" spans="1:7" ht="15.6" x14ac:dyDescent="0.45">
      <c r="A21" s="16" t="s">
        <v>42</v>
      </c>
      <c r="B21" s="16" t="s">
        <v>21</v>
      </c>
      <c r="C21" s="16" t="s">
        <v>22</v>
      </c>
      <c r="D21" s="16" t="s">
        <v>23</v>
      </c>
      <c r="E21" s="17">
        <v>45.730200000000004</v>
      </c>
      <c r="F21" s="17">
        <v>-122.4833</v>
      </c>
      <c r="G21" s="23" t="str">
        <f>MakeLocationsCode(E21,F21)</f>
        <v>E7GB-P6H2</v>
      </c>
    </row>
    <row r="22" spans="1:7" ht="15.6" x14ac:dyDescent="0.45">
      <c r="A22" s="16" t="s">
        <v>43</v>
      </c>
      <c r="B22" s="16" t="s">
        <v>21</v>
      </c>
      <c r="C22" s="16" t="s">
        <v>22</v>
      </c>
      <c r="D22" s="16" t="s">
        <v>23</v>
      </c>
      <c r="E22" s="17">
        <v>45.786000000000001</v>
      </c>
      <c r="F22" s="17">
        <v>-122.4721</v>
      </c>
      <c r="G22" s="23" t="str">
        <f>MakeLocationsCode(E22,F22)</f>
        <v>E7GB-V7E8</v>
      </c>
    </row>
    <row r="23" spans="1:7" ht="15.6" x14ac:dyDescent="0.45">
      <c r="A23" s="16" t="s">
        <v>44</v>
      </c>
      <c r="B23" s="16" t="s">
        <v>21</v>
      </c>
      <c r="C23" s="16" t="s">
        <v>22</v>
      </c>
      <c r="D23" s="16" t="s">
        <v>23</v>
      </c>
      <c r="E23" s="17">
        <v>45.812800000000003</v>
      </c>
      <c r="F23" s="17">
        <v>-122.51430000000001</v>
      </c>
      <c r="G23" s="23" t="str">
        <f>MakeLocationsCode(E23,F23)</f>
        <v>E7GB-Y28R</v>
      </c>
    </row>
    <row r="24" spans="1:7" ht="15.6" x14ac:dyDescent="0.45">
      <c r="A24" s="16" t="s">
        <v>45</v>
      </c>
      <c r="B24" s="16" t="s">
        <v>21</v>
      </c>
      <c r="C24" s="16" t="s">
        <v>22</v>
      </c>
      <c r="D24" s="16" t="s">
        <v>46</v>
      </c>
      <c r="E24" s="17">
        <v>45.642499999999998</v>
      </c>
      <c r="F24" s="17">
        <v>-121.9688</v>
      </c>
      <c r="G24" s="23" t="str">
        <f>MakeLocationsCode(E24,F24)</f>
        <v>E7GC-GQ7I</v>
      </c>
    </row>
    <row r="25" spans="1:7" ht="15.6" x14ac:dyDescent="0.45">
      <c r="A25" s="16" t="s">
        <v>47</v>
      </c>
      <c r="B25" s="16" t="s">
        <v>21</v>
      </c>
      <c r="C25" s="16" t="s">
        <v>22</v>
      </c>
      <c r="D25" s="16" t="s">
        <v>46</v>
      </c>
      <c r="E25" s="17">
        <v>45.692700000000002</v>
      </c>
      <c r="F25" s="17">
        <v>-121.89490000000001</v>
      </c>
      <c r="G25" s="23" t="str">
        <f>MakeLocationsCode(E25,F25)</f>
        <v>E7GC-LYIC</v>
      </c>
    </row>
    <row r="26" spans="1:7" ht="15.6" x14ac:dyDescent="0.45">
      <c r="A26" s="16" t="s">
        <v>48</v>
      </c>
      <c r="B26" s="16" t="s">
        <v>21</v>
      </c>
      <c r="C26" s="16" t="s">
        <v>22</v>
      </c>
      <c r="D26" s="16" t="s">
        <v>46</v>
      </c>
      <c r="E26" s="17">
        <v>45.735399999999998</v>
      </c>
      <c r="F26" s="17">
        <v>-121.8219</v>
      </c>
      <c r="G26" s="23" t="str">
        <f>MakeLocationsCode(E26,F26)</f>
        <v>E7GD-P8Z3</v>
      </c>
    </row>
    <row r="27" spans="1:7" ht="15.6" x14ac:dyDescent="0.45">
      <c r="A27" s="16" t="s">
        <v>49</v>
      </c>
      <c r="B27" s="16" t="s">
        <v>21</v>
      </c>
      <c r="C27" s="16" t="s">
        <v>22</v>
      </c>
      <c r="D27" s="16" t="s">
        <v>50</v>
      </c>
      <c r="E27" s="17">
        <v>45.695599999999999</v>
      </c>
      <c r="F27" s="17">
        <v>-121.2805</v>
      </c>
      <c r="G27" s="23" t="str">
        <f>MakeLocationsCode(E27,F27)</f>
        <v>E7GE-LVSE</v>
      </c>
    </row>
    <row r="28" spans="1:7" ht="15.6" x14ac:dyDescent="0.45">
      <c r="A28" s="16" t="s">
        <v>51</v>
      </c>
      <c r="B28" s="16" t="s">
        <v>21</v>
      </c>
      <c r="C28" s="16" t="s">
        <v>22</v>
      </c>
      <c r="D28" s="16" t="s">
        <v>50</v>
      </c>
      <c r="E28" s="17">
        <v>45.713900000000002</v>
      </c>
      <c r="F28" s="17">
        <v>-121.4704</v>
      </c>
      <c r="G28" s="23" t="str">
        <f>MakeLocationsCode(E28,F28)</f>
        <v>E7GE-NBQB</v>
      </c>
    </row>
    <row r="29" spans="1:7" ht="15.6" x14ac:dyDescent="0.45">
      <c r="A29" s="16" t="s">
        <v>52</v>
      </c>
      <c r="B29" s="16" t="s">
        <v>21</v>
      </c>
      <c r="C29" s="16" t="s">
        <v>22</v>
      </c>
      <c r="D29" s="16" t="s">
        <v>50</v>
      </c>
      <c r="E29" s="17">
        <v>45.728299999999997</v>
      </c>
      <c r="F29" s="17">
        <v>-121.4853</v>
      </c>
      <c r="G29" s="23" t="str">
        <f>MakeLocationsCode(E29,F29)</f>
        <v>E7GE-P9AP</v>
      </c>
    </row>
    <row r="30" spans="1:7" ht="15.6" x14ac:dyDescent="0.45">
      <c r="A30" s="16" t="s">
        <v>53</v>
      </c>
      <c r="B30" s="16" t="s">
        <v>21</v>
      </c>
      <c r="C30" s="16" t="s">
        <v>22</v>
      </c>
      <c r="D30" s="16" t="s">
        <v>50</v>
      </c>
      <c r="E30" s="17">
        <v>45.631599999999999</v>
      </c>
      <c r="F30" s="17">
        <v>-121.17489999999999</v>
      </c>
      <c r="G30" s="23" t="str">
        <f>MakeLocationsCode(E30,F30)</f>
        <v>E7GF-F82K</v>
      </c>
    </row>
    <row r="31" spans="1:7" ht="15.6" x14ac:dyDescent="0.45">
      <c r="A31" s="16" t="s">
        <v>54</v>
      </c>
      <c r="B31" s="16" t="s">
        <v>21</v>
      </c>
      <c r="C31" s="16" t="s">
        <v>22</v>
      </c>
      <c r="D31" s="16" t="s">
        <v>50</v>
      </c>
      <c r="E31" s="17">
        <v>45.661299999999997</v>
      </c>
      <c r="F31" s="17">
        <v>-120.9714</v>
      </c>
      <c r="G31" s="23" t="str">
        <f>MakeLocationsCode(E31,F31)</f>
        <v>E7GF-IU75</v>
      </c>
    </row>
    <row r="32" spans="1:7" ht="15.6" x14ac:dyDescent="0.45">
      <c r="A32" s="16" t="s">
        <v>50</v>
      </c>
      <c r="B32" s="16" t="s">
        <v>21</v>
      </c>
      <c r="C32" s="16" t="s">
        <v>22</v>
      </c>
      <c r="D32" s="16" t="s">
        <v>50</v>
      </c>
      <c r="E32" s="17">
        <v>45.817999999999998</v>
      </c>
      <c r="F32" s="17">
        <v>-121.1626</v>
      </c>
      <c r="G32" s="23" t="str">
        <f>MakeLocationsCode(E32,F32)</f>
        <v>E7GF-Y9RV</v>
      </c>
    </row>
    <row r="33" spans="1:7" ht="15.6" x14ac:dyDescent="0.45">
      <c r="A33" s="16" t="s">
        <v>55</v>
      </c>
      <c r="B33" s="16" t="s">
        <v>21</v>
      </c>
      <c r="C33" s="16" t="s">
        <v>22</v>
      </c>
      <c r="D33" s="16" t="s">
        <v>50</v>
      </c>
      <c r="E33" s="17">
        <v>45.692799999999998</v>
      </c>
      <c r="F33" s="17">
        <v>-120.807</v>
      </c>
      <c r="G33" s="23" t="str">
        <f>MakeLocationsCode(E33,F33)</f>
        <v>E7GG-LDIJ</v>
      </c>
    </row>
    <row r="34" spans="1:7" ht="15.6" x14ac:dyDescent="0.45">
      <c r="A34" s="16" t="s">
        <v>56</v>
      </c>
      <c r="B34" s="16" t="s">
        <v>21</v>
      </c>
      <c r="C34" s="16" t="s">
        <v>22</v>
      </c>
      <c r="D34" s="16" t="s">
        <v>50</v>
      </c>
      <c r="E34" s="17">
        <v>45.753999999999998</v>
      </c>
      <c r="F34" s="17">
        <v>-120.908</v>
      </c>
      <c r="G34" s="23" t="str">
        <f>MakeLocationsCode(E34,F34)</f>
        <v>E7GG-R2YT</v>
      </c>
    </row>
    <row r="35" spans="1:7" ht="15.6" x14ac:dyDescent="0.45">
      <c r="A35" s="16" t="s">
        <v>57</v>
      </c>
      <c r="B35" s="16" t="s">
        <v>21</v>
      </c>
      <c r="C35" s="16" t="s">
        <v>22</v>
      </c>
      <c r="D35" s="16" t="s">
        <v>50</v>
      </c>
      <c r="E35" s="17">
        <v>45.819200000000002</v>
      </c>
      <c r="F35" s="17">
        <v>-120.8233</v>
      </c>
      <c r="G35" s="23" t="str">
        <f>MakeLocationsCode(E35,F35)</f>
        <v>E7GG-YBVS</v>
      </c>
    </row>
    <row r="36" spans="1:7" ht="15.6" x14ac:dyDescent="0.45">
      <c r="A36" s="16" t="s">
        <v>58</v>
      </c>
      <c r="B36" s="16" t="s">
        <v>21</v>
      </c>
      <c r="C36" s="16" t="s">
        <v>22</v>
      </c>
      <c r="D36" s="16" t="s">
        <v>50</v>
      </c>
      <c r="E36" s="17">
        <v>45.747599999999998</v>
      </c>
      <c r="F36" s="17">
        <v>-120.2161</v>
      </c>
      <c r="G36" s="23" t="str">
        <f>MakeLocationsCode(E36,F36)</f>
        <v>E7GI-R8B4</v>
      </c>
    </row>
    <row r="37" spans="1:7" ht="15.6" x14ac:dyDescent="0.45">
      <c r="A37" s="16" t="s">
        <v>59</v>
      </c>
      <c r="B37" s="16" t="s">
        <v>21</v>
      </c>
      <c r="C37" s="16" t="s">
        <v>22</v>
      </c>
      <c r="D37" s="16" t="s">
        <v>60</v>
      </c>
      <c r="E37" s="17">
        <v>46.123600000000003</v>
      </c>
      <c r="F37" s="17">
        <v>-122.8909</v>
      </c>
      <c r="G37" s="23" t="str">
        <f>MakeLocationsCode(E37,F37)</f>
        <v>E7H9-XU5V</v>
      </c>
    </row>
    <row r="38" spans="1:7" ht="15.6" x14ac:dyDescent="0.45">
      <c r="A38" s="16" t="s">
        <v>61</v>
      </c>
      <c r="B38" s="16" t="s">
        <v>21</v>
      </c>
      <c r="C38" s="16" t="s">
        <v>22</v>
      </c>
      <c r="D38" s="16" t="s">
        <v>60</v>
      </c>
      <c r="E38" s="17">
        <v>46.146099999999997</v>
      </c>
      <c r="F38" s="17">
        <v>-122.96299999999999</v>
      </c>
      <c r="G38" s="23" t="str">
        <f>MakeLocationsCode(E38,F38)</f>
        <v>E7H9-ZNI9</v>
      </c>
    </row>
    <row r="39" spans="1:7" ht="15.6" x14ac:dyDescent="0.45">
      <c r="A39" s="16" t="s">
        <v>62</v>
      </c>
      <c r="B39" s="16" t="s">
        <v>21</v>
      </c>
      <c r="C39" s="16" t="s">
        <v>22</v>
      </c>
      <c r="D39" s="16" t="s">
        <v>23</v>
      </c>
      <c r="E39" s="17">
        <v>45.860100000000003</v>
      </c>
      <c r="F39" s="17">
        <v>-122.6756</v>
      </c>
      <c r="G39" s="23" t="str">
        <f>MakeLocationsCode(E39,F39)</f>
        <v>E7HA-5J8O</v>
      </c>
    </row>
    <row r="40" spans="1:7" ht="15.6" x14ac:dyDescent="0.45">
      <c r="A40" s="16" t="s">
        <v>63</v>
      </c>
      <c r="B40" s="16" t="s">
        <v>21</v>
      </c>
      <c r="C40" s="16" t="s">
        <v>22</v>
      </c>
      <c r="D40" s="16" t="s">
        <v>60</v>
      </c>
      <c r="E40" s="17">
        <v>45.914499999999997</v>
      </c>
      <c r="F40" s="17">
        <v>-122.7505</v>
      </c>
      <c r="G40" s="23" t="str">
        <f>MakeLocationsCode(E40,F40)</f>
        <v>E7HA-ABYQ</v>
      </c>
    </row>
    <row r="41" spans="1:7" ht="15.6" x14ac:dyDescent="0.45">
      <c r="A41" s="16" t="s">
        <v>64</v>
      </c>
      <c r="B41" s="16" t="s">
        <v>21</v>
      </c>
      <c r="C41" s="16" t="s">
        <v>22</v>
      </c>
      <c r="D41" s="16" t="s">
        <v>60</v>
      </c>
      <c r="E41" s="17">
        <v>46.016399999999997</v>
      </c>
      <c r="F41" s="17">
        <v>-122.8402</v>
      </c>
      <c r="G41" s="23" t="str">
        <f>MakeLocationsCode(E41,F41)</f>
        <v>E7HA-L2R9</v>
      </c>
    </row>
    <row r="42" spans="1:7" ht="15.6" x14ac:dyDescent="0.45">
      <c r="A42" s="16" t="s">
        <v>65</v>
      </c>
      <c r="B42" s="16" t="s">
        <v>21</v>
      </c>
      <c r="C42" s="16" t="s">
        <v>22</v>
      </c>
      <c r="D42" s="16" t="s">
        <v>23</v>
      </c>
      <c r="E42" s="17">
        <v>45.865200000000002</v>
      </c>
      <c r="F42" s="17">
        <v>-122.4062</v>
      </c>
      <c r="G42" s="23" t="str">
        <f>MakeLocationsCode(E42,F42)</f>
        <v>E7HB-5ER8</v>
      </c>
    </row>
    <row r="43" spans="1:7" ht="15.6" x14ac:dyDescent="0.45">
      <c r="A43" s="16" t="s">
        <v>66</v>
      </c>
      <c r="B43" s="16" t="s">
        <v>21</v>
      </c>
      <c r="C43" s="16" t="s">
        <v>22</v>
      </c>
      <c r="D43" s="16" t="s">
        <v>23</v>
      </c>
      <c r="E43" s="17">
        <v>45.912199999999999</v>
      </c>
      <c r="F43" s="17">
        <v>-122.4796</v>
      </c>
      <c r="G43" s="23" t="str">
        <f>MakeLocationsCode(E43,F43)</f>
        <v>E7HB-A6QF</v>
      </c>
    </row>
    <row r="44" spans="1:7" ht="15.6" x14ac:dyDescent="0.45">
      <c r="A44" s="16" t="s">
        <v>67</v>
      </c>
      <c r="B44" s="16" t="s">
        <v>21</v>
      </c>
      <c r="C44" s="16" t="s">
        <v>22</v>
      </c>
      <c r="D44" s="16" t="s">
        <v>60</v>
      </c>
      <c r="E44" s="17">
        <v>46.049300000000002</v>
      </c>
      <c r="F44" s="17">
        <v>-122.3034</v>
      </c>
      <c r="G44" s="23" t="str">
        <f>MakeLocationsCode(E44,F44)</f>
        <v>E7HB-PP94</v>
      </c>
    </row>
    <row r="45" spans="1:7" ht="15.6" x14ac:dyDescent="0.45">
      <c r="A45" s="16" t="s">
        <v>68</v>
      </c>
      <c r="B45" s="16" t="s">
        <v>21</v>
      </c>
      <c r="C45" s="16" t="s">
        <v>22</v>
      </c>
      <c r="D45" s="16" t="s">
        <v>50</v>
      </c>
      <c r="E45" s="17">
        <v>45.997599999999998</v>
      </c>
      <c r="F45" s="17">
        <v>-121.529</v>
      </c>
      <c r="G45" s="23" t="str">
        <f>MakeLocationsCode(E45,F45)</f>
        <v>E7HE-J5R4</v>
      </c>
    </row>
    <row r="46" spans="1:7" ht="15.6" x14ac:dyDescent="0.45">
      <c r="A46" s="16" t="s">
        <v>69</v>
      </c>
      <c r="B46" s="16" t="s">
        <v>21</v>
      </c>
      <c r="C46" s="16" t="s">
        <v>22</v>
      </c>
      <c r="D46" s="16" t="s">
        <v>50</v>
      </c>
      <c r="E46" s="17">
        <v>46.022799999999997</v>
      </c>
      <c r="F46" s="17">
        <v>-121.2925</v>
      </c>
      <c r="G46" s="23" t="str">
        <f>MakeLocationsCode(E46,F46)</f>
        <v>E7HE-MUG5</v>
      </c>
    </row>
    <row r="47" spans="1:7" ht="15.6" x14ac:dyDescent="0.45">
      <c r="A47" s="16" t="s">
        <v>70</v>
      </c>
      <c r="B47" s="16" t="s">
        <v>21</v>
      </c>
      <c r="C47" s="16" t="s">
        <v>22</v>
      </c>
      <c r="D47" s="16" t="s">
        <v>50</v>
      </c>
      <c r="E47" s="17">
        <v>46.005600000000001</v>
      </c>
      <c r="F47" s="17">
        <v>-120.3081</v>
      </c>
      <c r="G47" s="23" t="str">
        <f>MakeLocationsCode(E47,F47)</f>
        <v>E7HH-KWMD</v>
      </c>
    </row>
    <row r="48" spans="1:7" ht="15.6" x14ac:dyDescent="0.45">
      <c r="A48" s="16" t="s">
        <v>71</v>
      </c>
      <c r="B48" s="16" t="s">
        <v>21</v>
      </c>
      <c r="C48" s="16" t="s">
        <v>22</v>
      </c>
      <c r="D48" s="16" t="s">
        <v>72</v>
      </c>
      <c r="E48" s="17">
        <v>46.0411</v>
      </c>
      <c r="F48" s="17">
        <v>-118.6724</v>
      </c>
      <c r="G48" s="23" t="str">
        <f>MakeLocationsCode(E48,F48)</f>
        <v>E7HM-OZEJ</v>
      </c>
    </row>
    <row r="49" spans="1:7" ht="15.6" x14ac:dyDescent="0.45">
      <c r="A49" s="16" t="s">
        <v>73</v>
      </c>
      <c r="B49" s="16" t="s">
        <v>21</v>
      </c>
      <c r="C49" s="16" t="s">
        <v>22</v>
      </c>
      <c r="D49" s="16" t="s">
        <v>72</v>
      </c>
      <c r="E49" s="17">
        <v>46.084699999999998</v>
      </c>
      <c r="F49" s="17">
        <v>-118.90560000000001</v>
      </c>
      <c r="G49" s="23" t="str">
        <f>MakeLocationsCode(E49,F49)</f>
        <v>E7HM-SAZU</v>
      </c>
    </row>
    <row r="50" spans="1:7" ht="15.6" x14ac:dyDescent="0.45">
      <c r="A50" s="16" t="s">
        <v>74</v>
      </c>
      <c r="B50" s="16" t="s">
        <v>21</v>
      </c>
      <c r="C50" s="16" t="s">
        <v>22</v>
      </c>
      <c r="D50" s="16" t="s">
        <v>72</v>
      </c>
      <c r="E50" s="17">
        <v>46.041899999999998</v>
      </c>
      <c r="F50" s="17">
        <v>-118.3878</v>
      </c>
      <c r="G50" s="23" t="str">
        <f>MakeLocationsCode(E50,F50)</f>
        <v>E7HN-OVHO</v>
      </c>
    </row>
    <row r="51" spans="1:7" ht="15.6" x14ac:dyDescent="0.45">
      <c r="A51" s="16" t="s">
        <v>75</v>
      </c>
      <c r="B51" s="16" t="s">
        <v>21</v>
      </c>
      <c r="C51" s="16" t="s">
        <v>22</v>
      </c>
      <c r="D51" s="16" t="s">
        <v>72</v>
      </c>
      <c r="E51" s="17">
        <v>46.0608</v>
      </c>
      <c r="F51" s="17">
        <v>-118.399</v>
      </c>
      <c r="G51" s="23" t="str">
        <f>MakeLocationsCode(E51,F51)</f>
        <v>E7HN-QUHI</v>
      </c>
    </row>
    <row r="52" spans="1:7" ht="15.6" x14ac:dyDescent="0.45">
      <c r="A52" s="16" t="s">
        <v>76</v>
      </c>
      <c r="B52" s="16" t="s">
        <v>21</v>
      </c>
      <c r="C52" s="16" t="s">
        <v>22</v>
      </c>
      <c r="D52" s="16" t="s">
        <v>72</v>
      </c>
      <c r="E52" s="17">
        <v>46.045999999999999</v>
      </c>
      <c r="F52" s="17">
        <v>-118.30329999999999</v>
      </c>
      <c r="G52" s="23" t="str">
        <f>MakeLocationsCode(E52,F52)</f>
        <v>E7HO-O6WM</v>
      </c>
    </row>
    <row r="53" spans="1:7" ht="15.6" x14ac:dyDescent="0.45">
      <c r="A53" s="16" t="s">
        <v>72</v>
      </c>
      <c r="B53" s="16" t="s">
        <v>21</v>
      </c>
      <c r="C53" s="16" t="s">
        <v>22</v>
      </c>
      <c r="D53" s="16" t="s">
        <v>72</v>
      </c>
      <c r="E53" s="17">
        <v>46.067100000000003</v>
      </c>
      <c r="F53" s="17">
        <v>-118.3368</v>
      </c>
      <c r="G53" s="23" t="str">
        <f>MakeLocationsCode(E53,F53)</f>
        <v>E7HO-R364</v>
      </c>
    </row>
    <row r="54" spans="1:7" ht="15.6" x14ac:dyDescent="0.45">
      <c r="A54" s="16" t="s">
        <v>77</v>
      </c>
      <c r="B54" s="16" t="s">
        <v>21</v>
      </c>
      <c r="C54" s="16" t="s">
        <v>22</v>
      </c>
      <c r="D54" s="16" t="s">
        <v>72</v>
      </c>
      <c r="E54" s="17">
        <v>46.139899999999997</v>
      </c>
      <c r="F54" s="17">
        <v>-118.1521</v>
      </c>
      <c r="G54" s="23" t="str">
        <f>MakeLocationsCode(E54,F54)</f>
        <v>E7HO-YMUM</v>
      </c>
    </row>
    <row r="55" spans="1:7" ht="15.6" x14ac:dyDescent="0.45">
      <c r="A55" s="16" t="s">
        <v>78</v>
      </c>
      <c r="B55" s="16" t="s">
        <v>21</v>
      </c>
      <c r="C55" s="16" t="s">
        <v>22</v>
      </c>
      <c r="D55" s="16" t="s">
        <v>79</v>
      </c>
      <c r="E55" s="17">
        <v>46.135399999999997</v>
      </c>
      <c r="F55" s="17">
        <v>-117.1322</v>
      </c>
      <c r="G55" s="23" t="str">
        <f>MakeLocationsCode(E55,F55)</f>
        <v>E7HR-YSDM</v>
      </c>
    </row>
    <row r="56" spans="1:7" ht="15.6" x14ac:dyDescent="0.45">
      <c r="A56" s="16" t="s">
        <v>80</v>
      </c>
      <c r="B56" s="16" t="s">
        <v>21</v>
      </c>
      <c r="C56" s="16" t="s">
        <v>22</v>
      </c>
      <c r="D56" s="16" t="s">
        <v>81</v>
      </c>
      <c r="E56" s="17">
        <v>46.275500000000001</v>
      </c>
      <c r="F56" s="17">
        <v>-123.9425</v>
      </c>
      <c r="G56" s="23" t="str">
        <f>MakeLocationsCode(E56,F56)</f>
        <v>E7I6-FL8J</v>
      </c>
    </row>
    <row r="57" spans="1:7" ht="15.6" x14ac:dyDescent="0.45">
      <c r="A57" s="16" t="s">
        <v>82</v>
      </c>
      <c r="B57" s="16" t="s">
        <v>21</v>
      </c>
      <c r="C57" s="16" t="s">
        <v>22</v>
      </c>
      <c r="D57" s="16" t="s">
        <v>81</v>
      </c>
      <c r="E57" s="17">
        <v>46.31</v>
      </c>
      <c r="F57" s="17">
        <v>-124.04170000000001</v>
      </c>
      <c r="G57" s="23" t="str">
        <f>MakeLocationsCode(E57,F57)</f>
        <v>E7I6-IBU2</v>
      </c>
    </row>
    <row r="58" spans="1:7" ht="15.6" x14ac:dyDescent="0.45">
      <c r="A58" s="16" t="s">
        <v>83</v>
      </c>
      <c r="B58" s="16" t="s">
        <v>21</v>
      </c>
      <c r="C58" s="16" t="s">
        <v>22</v>
      </c>
      <c r="D58" s="16" t="s">
        <v>81</v>
      </c>
      <c r="E58" s="17">
        <v>46.355800000000002</v>
      </c>
      <c r="F58" s="17">
        <v>-124.0556</v>
      </c>
      <c r="G58" s="23" t="str">
        <f>MakeLocationsCode(E58,F58)</f>
        <v>E7I6-N9PK</v>
      </c>
    </row>
    <row r="59" spans="1:7" ht="15.6" x14ac:dyDescent="0.45">
      <c r="A59" s="16" t="s">
        <v>84</v>
      </c>
      <c r="B59" s="16" t="s">
        <v>21</v>
      </c>
      <c r="C59" s="16" t="s">
        <v>22</v>
      </c>
      <c r="D59" s="16" t="s">
        <v>85</v>
      </c>
      <c r="E59" s="17">
        <v>46.2699</v>
      </c>
      <c r="F59" s="17">
        <v>-123.6144</v>
      </c>
      <c r="G59" s="23" t="str">
        <f>MakeLocationsCode(E59,F59)</f>
        <v>E7I7-EMMA</v>
      </c>
    </row>
    <row r="60" spans="1:7" ht="15.6" x14ac:dyDescent="0.45">
      <c r="A60" s="16" t="s">
        <v>86</v>
      </c>
      <c r="B60" s="16" t="s">
        <v>21</v>
      </c>
      <c r="C60" s="16" t="s">
        <v>22</v>
      </c>
      <c r="D60" s="16" t="s">
        <v>85</v>
      </c>
      <c r="E60" s="17">
        <v>46.307600000000001</v>
      </c>
      <c r="F60" s="17">
        <v>-123.6345</v>
      </c>
      <c r="G60" s="23" t="str">
        <f>MakeLocationsCode(E60,F60)</f>
        <v>E7I7-IKL6</v>
      </c>
    </row>
    <row r="61" spans="1:7" ht="15.6" x14ac:dyDescent="0.45">
      <c r="A61" s="16" t="s">
        <v>87</v>
      </c>
      <c r="B61" s="16" t="s">
        <v>21</v>
      </c>
      <c r="C61" s="16" t="s">
        <v>22</v>
      </c>
      <c r="D61" s="16" t="s">
        <v>85</v>
      </c>
      <c r="E61" s="17">
        <v>46.3521</v>
      </c>
      <c r="F61" s="17">
        <v>-123.6985</v>
      </c>
      <c r="G61" s="23" t="str">
        <f>MakeLocationsCode(E61,F61)</f>
        <v>E7I7-NDCD</v>
      </c>
    </row>
    <row r="62" spans="1:7" ht="15.6" x14ac:dyDescent="0.45">
      <c r="A62" s="16" t="s">
        <v>88</v>
      </c>
      <c r="B62" s="16" t="s">
        <v>21</v>
      </c>
      <c r="C62" s="16" t="s">
        <v>22</v>
      </c>
      <c r="D62" s="16" t="s">
        <v>81</v>
      </c>
      <c r="E62" s="17">
        <v>46.365000000000002</v>
      </c>
      <c r="F62" s="17">
        <v>-123.8013</v>
      </c>
      <c r="G62" s="23" t="str">
        <f>MakeLocationsCode(E62,F62)</f>
        <v>E7I7-O2OH</v>
      </c>
    </row>
    <row r="63" spans="1:7" ht="15.6" x14ac:dyDescent="0.45">
      <c r="A63" s="16" t="s">
        <v>89</v>
      </c>
      <c r="B63" s="16" t="s">
        <v>21</v>
      </c>
      <c r="C63" s="16" t="s">
        <v>22</v>
      </c>
      <c r="D63" s="16" t="s">
        <v>85</v>
      </c>
      <c r="E63" s="17">
        <v>46.360799999999998</v>
      </c>
      <c r="F63" s="17">
        <v>-123.589</v>
      </c>
      <c r="G63" s="23" t="str">
        <f>MakeLocationsCode(E63,F63)</f>
        <v>E7I7-OO9Y</v>
      </c>
    </row>
    <row r="64" spans="1:7" ht="15.6" x14ac:dyDescent="0.45">
      <c r="A64" s="16" t="s">
        <v>90</v>
      </c>
      <c r="B64" s="16" t="s">
        <v>21</v>
      </c>
      <c r="C64" s="16" t="s">
        <v>22</v>
      </c>
      <c r="D64" s="16" t="s">
        <v>85</v>
      </c>
      <c r="E64" s="17">
        <v>46.174300000000002</v>
      </c>
      <c r="F64" s="17">
        <v>-123.383</v>
      </c>
      <c r="G64" s="23" t="str">
        <f>MakeLocationsCode(E64,F64)</f>
        <v>E7I8-4CHR</v>
      </c>
    </row>
    <row r="65" spans="1:7" ht="15.6" x14ac:dyDescent="0.45">
      <c r="A65" s="16" t="s">
        <v>91</v>
      </c>
      <c r="B65" s="16" t="s">
        <v>21</v>
      </c>
      <c r="C65" s="16" t="s">
        <v>22</v>
      </c>
      <c r="D65" s="16" t="s">
        <v>85</v>
      </c>
      <c r="E65" s="17">
        <v>46.195599999999999</v>
      </c>
      <c r="F65" s="17">
        <v>-123.3588</v>
      </c>
      <c r="G65" s="23" t="str">
        <f>MakeLocationsCode(E65,F65)</f>
        <v>E7I8-6FQC</v>
      </c>
    </row>
    <row r="66" spans="1:7" ht="15.6" x14ac:dyDescent="0.45">
      <c r="A66" s="16" t="s">
        <v>92</v>
      </c>
      <c r="B66" s="16" t="s">
        <v>21</v>
      </c>
      <c r="C66" s="16" t="s">
        <v>22</v>
      </c>
      <c r="D66" s="16" t="s">
        <v>85</v>
      </c>
      <c r="E66" s="17">
        <v>46.205599999999997</v>
      </c>
      <c r="F66" s="17">
        <v>-123.3835</v>
      </c>
      <c r="G66" s="23" t="str">
        <f>MakeLocationsCode(E66,F66)</f>
        <v>E7I8-7CSP</v>
      </c>
    </row>
    <row r="67" spans="1:7" ht="15.6" x14ac:dyDescent="0.45">
      <c r="A67" s="16" t="s">
        <v>93</v>
      </c>
      <c r="B67" s="16" t="s">
        <v>21</v>
      </c>
      <c r="C67" s="16" t="s">
        <v>22</v>
      </c>
      <c r="D67" s="16" t="s">
        <v>85</v>
      </c>
      <c r="E67" s="17">
        <v>46.218400000000003</v>
      </c>
      <c r="F67" s="17">
        <v>-123.36969999999999</v>
      </c>
      <c r="G67" s="23" t="str">
        <f>MakeLocationsCode(E67,F67)</f>
        <v>E7I8-9E67</v>
      </c>
    </row>
    <row r="68" spans="1:7" ht="15.6" x14ac:dyDescent="0.45">
      <c r="A68" s="16" t="s">
        <v>94</v>
      </c>
      <c r="B68" s="16" t="s">
        <v>21</v>
      </c>
      <c r="C68" s="16" t="s">
        <v>22</v>
      </c>
      <c r="D68" s="16" t="s">
        <v>85</v>
      </c>
      <c r="E68" s="17">
        <v>46.240400000000001</v>
      </c>
      <c r="F68" s="17">
        <v>-123.3246</v>
      </c>
      <c r="G68" s="23" t="str">
        <f>MakeLocationsCode(E68,F68)</f>
        <v>E7I8-BIHX</v>
      </c>
    </row>
    <row r="69" spans="1:7" ht="15.6" x14ac:dyDescent="0.45">
      <c r="A69" s="16" t="s">
        <v>95</v>
      </c>
      <c r="B69" s="16" t="s">
        <v>21</v>
      </c>
      <c r="C69" s="16" t="s">
        <v>22</v>
      </c>
      <c r="D69" s="16" t="s">
        <v>85</v>
      </c>
      <c r="E69" s="17">
        <v>46.300400000000003</v>
      </c>
      <c r="F69" s="17">
        <v>-123.4243</v>
      </c>
      <c r="G69" s="23" t="str">
        <f>MakeLocationsCode(E69,F69)</f>
        <v>E7I8-H8TF</v>
      </c>
    </row>
    <row r="70" spans="1:7" ht="15.6" x14ac:dyDescent="0.45">
      <c r="A70" s="16" t="s">
        <v>96</v>
      </c>
      <c r="B70" s="16" t="s">
        <v>21</v>
      </c>
      <c r="C70" s="16" t="s">
        <v>22</v>
      </c>
      <c r="D70" s="16" t="s">
        <v>60</v>
      </c>
      <c r="E70" s="17">
        <v>46.177</v>
      </c>
      <c r="F70" s="17">
        <v>-122.9235</v>
      </c>
      <c r="G70" s="23" t="str">
        <f>MakeLocationsCode(E70,F70)</f>
        <v>E7I9-4RRF</v>
      </c>
    </row>
    <row r="71" spans="1:7" ht="15.6" x14ac:dyDescent="0.45">
      <c r="A71" s="16" t="s">
        <v>97</v>
      </c>
      <c r="B71" s="16" t="s">
        <v>21</v>
      </c>
      <c r="C71" s="16" t="s">
        <v>22</v>
      </c>
      <c r="D71" s="16" t="s">
        <v>60</v>
      </c>
      <c r="E71" s="17">
        <v>46.179400000000001</v>
      </c>
      <c r="F71" s="17">
        <v>-122.9568</v>
      </c>
      <c r="G71" s="23" t="str">
        <f>MakeLocationsCode(E71,F71)</f>
        <v>E7I9-5N2W</v>
      </c>
    </row>
    <row r="72" spans="1:7" ht="15.6" x14ac:dyDescent="0.45">
      <c r="A72" s="16" t="s">
        <v>98</v>
      </c>
      <c r="B72" s="16" t="s">
        <v>21</v>
      </c>
      <c r="C72" s="16" t="s">
        <v>22</v>
      </c>
      <c r="D72" s="16" t="s">
        <v>60</v>
      </c>
      <c r="E72" s="17">
        <v>46.189900000000002</v>
      </c>
      <c r="F72" s="17">
        <v>-122.91249999999999</v>
      </c>
      <c r="G72" s="23" t="str">
        <f>MakeLocationsCode(E72,F72)</f>
        <v>E7I9-6S6L</v>
      </c>
    </row>
    <row r="73" spans="1:7" ht="15.6" x14ac:dyDescent="0.45">
      <c r="A73" s="16" t="s">
        <v>99</v>
      </c>
      <c r="B73" s="16" t="s">
        <v>21</v>
      </c>
      <c r="C73" s="16" t="s">
        <v>22</v>
      </c>
      <c r="D73" s="16" t="s">
        <v>60</v>
      </c>
      <c r="E73" s="17">
        <v>46.270800000000001</v>
      </c>
      <c r="F73" s="17">
        <v>-122.905</v>
      </c>
      <c r="G73" s="23" t="str">
        <f>MakeLocationsCode(E73,F73)</f>
        <v>E7I9-ETPE</v>
      </c>
    </row>
    <row r="74" spans="1:7" ht="15.6" x14ac:dyDescent="0.45">
      <c r="A74" s="16" t="s">
        <v>100</v>
      </c>
      <c r="B74" s="16" t="s">
        <v>21</v>
      </c>
      <c r="C74" s="16" t="s">
        <v>22</v>
      </c>
      <c r="D74" s="16" t="s">
        <v>60</v>
      </c>
      <c r="E74" s="17">
        <v>46.375</v>
      </c>
      <c r="F74" s="17">
        <v>-123.0441</v>
      </c>
      <c r="G74" s="23" t="str">
        <f>MakeLocationsCode(E74,F74)</f>
        <v>E7I9-PEQN</v>
      </c>
    </row>
    <row r="75" spans="1:7" ht="15.6" x14ac:dyDescent="0.45">
      <c r="A75" s="16" t="s">
        <v>101</v>
      </c>
      <c r="B75" s="16" t="s">
        <v>21</v>
      </c>
      <c r="C75" s="16" t="s">
        <v>22</v>
      </c>
      <c r="D75" s="16" t="s">
        <v>102</v>
      </c>
      <c r="E75" s="17">
        <v>46.404600000000002</v>
      </c>
      <c r="F75" s="17">
        <v>-122.9569</v>
      </c>
      <c r="G75" s="23" t="str">
        <f>MakeLocationsCode(E75,F75)</f>
        <v>E7I9-SNVV</v>
      </c>
    </row>
    <row r="76" spans="1:7" ht="15.6" x14ac:dyDescent="0.45">
      <c r="A76" s="16" t="s">
        <v>103</v>
      </c>
      <c r="B76" s="16" t="s">
        <v>21</v>
      </c>
      <c r="C76" s="16" t="s">
        <v>22</v>
      </c>
      <c r="D76" s="16" t="s">
        <v>102</v>
      </c>
      <c r="E76" s="17">
        <v>46.441499999999998</v>
      </c>
      <c r="F76" s="17">
        <v>-122.8497</v>
      </c>
      <c r="G76" s="23" t="str">
        <f>MakeLocationsCode(E76,F76)</f>
        <v>E7I9-WZR9</v>
      </c>
    </row>
    <row r="77" spans="1:7" ht="15.6" x14ac:dyDescent="0.45">
      <c r="A77" s="16" t="s">
        <v>104</v>
      </c>
      <c r="B77" s="16" t="s">
        <v>21</v>
      </c>
      <c r="C77" s="16" t="s">
        <v>22</v>
      </c>
      <c r="D77" s="16" t="s">
        <v>105</v>
      </c>
      <c r="E77" s="17">
        <v>46.377000000000002</v>
      </c>
      <c r="F77" s="17">
        <v>-120.73820000000001</v>
      </c>
      <c r="G77" s="23" t="str">
        <f>MakeLocationsCode(E77,F77)</f>
        <v>E7IG-PKXS</v>
      </c>
    </row>
    <row r="78" spans="1:7" ht="15.6" x14ac:dyDescent="0.45">
      <c r="A78" s="16" t="s">
        <v>106</v>
      </c>
      <c r="B78" s="16" t="s">
        <v>21</v>
      </c>
      <c r="C78" s="16" t="s">
        <v>22</v>
      </c>
      <c r="D78" s="16" t="s">
        <v>105</v>
      </c>
      <c r="E78" s="17">
        <v>46.380600000000001</v>
      </c>
      <c r="F78" s="17">
        <v>-120.3122</v>
      </c>
      <c r="G78" s="23" t="str">
        <f>MakeLocationsCode(E78,F78)</f>
        <v>E7IH-QVCW</v>
      </c>
    </row>
    <row r="79" spans="1:7" ht="15.6" x14ac:dyDescent="0.45">
      <c r="A79" s="16" t="s">
        <v>107</v>
      </c>
      <c r="B79" s="16" t="s">
        <v>21</v>
      </c>
      <c r="C79" s="16" t="s">
        <v>22</v>
      </c>
      <c r="D79" s="16" t="s">
        <v>105</v>
      </c>
      <c r="E79" s="17">
        <v>46.406100000000002</v>
      </c>
      <c r="F79" s="17">
        <v>-120.541</v>
      </c>
      <c r="G79" s="23" t="str">
        <f>MakeLocationsCode(E79,F79)</f>
        <v>E7IH-T72O</v>
      </c>
    </row>
    <row r="80" spans="1:7" ht="15.6" x14ac:dyDescent="0.45">
      <c r="A80" s="16" t="s">
        <v>108</v>
      </c>
      <c r="B80" s="16" t="s">
        <v>21</v>
      </c>
      <c r="C80" s="16" t="s">
        <v>22</v>
      </c>
      <c r="D80" s="16" t="s">
        <v>105</v>
      </c>
      <c r="E80" s="17">
        <v>46.427700000000002</v>
      </c>
      <c r="F80" s="17">
        <v>-120.31829999999999</v>
      </c>
      <c r="G80" s="23" t="str">
        <f>MakeLocationsCode(E80,F80)</f>
        <v>E7IH-VVCA</v>
      </c>
    </row>
    <row r="81" spans="1:7" ht="15.6" x14ac:dyDescent="0.45">
      <c r="A81" s="16" t="s">
        <v>109</v>
      </c>
      <c r="B81" s="16" t="s">
        <v>21</v>
      </c>
      <c r="C81" s="16" t="s">
        <v>22</v>
      </c>
      <c r="D81" s="16" t="s">
        <v>105</v>
      </c>
      <c r="E81" s="17">
        <v>46.4437</v>
      </c>
      <c r="F81" s="17">
        <v>-120.42149999999999</v>
      </c>
      <c r="G81" s="23" t="str">
        <f>MakeLocationsCode(E81,F81)</f>
        <v>E7IH-WKZD</v>
      </c>
    </row>
    <row r="82" spans="1:7" ht="15.6" x14ac:dyDescent="0.45">
      <c r="A82" s="16" t="s">
        <v>110</v>
      </c>
      <c r="B82" s="16" t="s">
        <v>21</v>
      </c>
      <c r="C82" s="16" t="s">
        <v>22</v>
      </c>
      <c r="D82" s="16" t="s">
        <v>105</v>
      </c>
      <c r="E82" s="17">
        <v>46.211599999999997</v>
      </c>
      <c r="F82" s="17">
        <v>-119.99379999999999</v>
      </c>
      <c r="G82" s="23" t="str">
        <f>MakeLocationsCode(E82,F82)</f>
        <v>E7II-8VGM</v>
      </c>
    </row>
    <row r="83" spans="1:7" ht="15.6" x14ac:dyDescent="0.45">
      <c r="A83" s="16" t="s">
        <v>111</v>
      </c>
      <c r="B83" s="16" t="s">
        <v>21</v>
      </c>
      <c r="C83" s="16" t="s">
        <v>22</v>
      </c>
      <c r="D83" s="16" t="s">
        <v>105</v>
      </c>
      <c r="E83" s="17">
        <v>46.3157</v>
      </c>
      <c r="F83" s="17">
        <v>-120.00579999999999</v>
      </c>
      <c r="G83" s="23" t="str">
        <f>MakeLocationsCode(E83,F83)</f>
        <v>E7II-JUHD</v>
      </c>
    </row>
    <row r="84" spans="1:7" ht="15.6" x14ac:dyDescent="0.45">
      <c r="A84" s="16" t="s">
        <v>112</v>
      </c>
      <c r="B84" s="16" t="s">
        <v>21</v>
      </c>
      <c r="C84" s="16" t="s">
        <v>22</v>
      </c>
      <c r="D84" s="16" t="s">
        <v>105</v>
      </c>
      <c r="E84" s="17">
        <v>46.331099999999999</v>
      </c>
      <c r="F84" s="17">
        <v>-120.0924</v>
      </c>
      <c r="G84" s="23" t="str">
        <f>MakeLocationsCode(E84,F84)</f>
        <v>E7II-LL47</v>
      </c>
    </row>
    <row r="85" spans="1:7" ht="15.6" x14ac:dyDescent="0.45">
      <c r="A85" s="16" t="s">
        <v>113</v>
      </c>
      <c r="B85" s="16" t="s">
        <v>21</v>
      </c>
      <c r="C85" s="16" t="s">
        <v>22</v>
      </c>
      <c r="D85" s="16" t="s">
        <v>105</v>
      </c>
      <c r="E85" s="17">
        <v>46.345399999999998</v>
      </c>
      <c r="F85" s="17">
        <v>-120.1925</v>
      </c>
      <c r="G85" s="23" t="str">
        <f>MakeLocationsCode(E85,F85)</f>
        <v>E7II-MALL</v>
      </c>
    </row>
    <row r="86" spans="1:7" ht="15.6" x14ac:dyDescent="0.45">
      <c r="A86" s="16" t="s">
        <v>114</v>
      </c>
      <c r="B86" s="16" t="s">
        <v>21</v>
      </c>
      <c r="C86" s="16" t="s">
        <v>22</v>
      </c>
      <c r="D86" s="16" t="s">
        <v>105</v>
      </c>
      <c r="E86" s="17">
        <v>46.4084</v>
      </c>
      <c r="F86" s="17">
        <v>-120.2727</v>
      </c>
      <c r="G86" s="23" t="str">
        <f>MakeLocationsCode(E86,F86)</f>
        <v>E7II-T2A4</v>
      </c>
    </row>
    <row r="87" spans="1:7" ht="15.6" x14ac:dyDescent="0.45">
      <c r="A87" s="16" t="s">
        <v>115</v>
      </c>
      <c r="B87" s="16" t="s">
        <v>21</v>
      </c>
      <c r="C87" s="16" t="s">
        <v>22</v>
      </c>
      <c r="D87" s="16" t="s">
        <v>116</v>
      </c>
      <c r="E87" s="17">
        <v>46.206800000000001</v>
      </c>
      <c r="F87" s="17">
        <v>-119.7663</v>
      </c>
      <c r="G87" s="23" t="str">
        <f>MakeLocationsCode(E87,F87)</f>
        <v>E7IJ-7LWP</v>
      </c>
    </row>
    <row r="88" spans="1:7" ht="15.6" x14ac:dyDescent="0.45">
      <c r="A88" s="16" t="s">
        <v>117</v>
      </c>
      <c r="B88" s="16" t="s">
        <v>21</v>
      </c>
      <c r="C88" s="16" t="s">
        <v>22</v>
      </c>
      <c r="D88" s="16" t="s">
        <v>105</v>
      </c>
      <c r="E88" s="17">
        <v>46.244300000000003</v>
      </c>
      <c r="F88" s="17">
        <v>-119.9092</v>
      </c>
      <c r="G88" s="23" t="str">
        <f>MakeLocationsCode(E88,F88)</f>
        <v>E7IJ-B6VL</v>
      </c>
    </row>
    <row r="89" spans="1:7" ht="15.6" x14ac:dyDescent="0.45">
      <c r="A89" s="16" t="s">
        <v>118</v>
      </c>
      <c r="B89" s="16" t="s">
        <v>21</v>
      </c>
      <c r="C89" s="16" t="s">
        <v>22</v>
      </c>
      <c r="D89" s="16" t="s">
        <v>116</v>
      </c>
      <c r="E89" s="17">
        <v>46.2622</v>
      </c>
      <c r="F89" s="17">
        <v>-119.4812</v>
      </c>
      <c r="G89" s="23" t="str">
        <f>MakeLocationsCode(E89,F89)</f>
        <v>E7IK-DHSW</v>
      </c>
    </row>
    <row r="90" spans="1:7" ht="15.6" x14ac:dyDescent="0.45">
      <c r="A90" s="16" t="s">
        <v>119</v>
      </c>
      <c r="B90" s="16" t="s">
        <v>21</v>
      </c>
      <c r="C90" s="16" t="s">
        <v>22</v>
      </c>
      <c r="D90" s="16" t="s">
        <v>116</v>
      </c>
      <c r="E90" s="17">
        <v>46.311500000000002</v>
      </c>
      <c r="F90" s="17">
        <v>-119.3999</v>
      </c>
      <c r="G90" s="23" t="str">
        <f>MakeLocationsCode(E90,F90)</f>
        <v>E7IK-IQZI</v>
      </c>
    </row>
    <row r="91" spans="1:7" ht="15.6" x14ac:dyDescent="0.45">
      <c r="A91" s="16" t="s">
        <v>120</v>
      </c>
      <c r="B91" s="16" t="s">
        <v>21</v>
      </c>
      <c r="C91" s="16" t="s">
        <v>22</v>
      </c>
      <c r="D91" s="16" t="s">
        <v>116</v>
      </c>
      <c r="E91" s="17">
        <v>46.169699999999999</v>
      </c>
      <c r="F91" s="17">
        <v>-119.04470000000001</v>
      </c>
      <c r="G91" s="23" t="str">
        <f>MakeLocationsCode(E91,F91)</f>
        <v>E7IL-3UZ5</v>
      </c>
    </row>
    <row r="92" spans="1:7" ht="15.6" x14ac:dyDescent="0.45">
      <c r="A92" s="16" t="s">
        <v>121</v>
      </c>
      <c r="B92" s="16" t="s">
        <v>21</v>
      </c>
      <c r="C92" s="16" t="s">
        <v>22</v>
      </c>
      <c r="D92" s="16" t="s">
        <v>116</v>
      </c>
      <c r="E92" s="17">
        <v>46.197800000000001</v>
      </c>
      <c r="F92" s="17">
        <v>-119.17319999999999</v>
      </c>
      <c r="G92" s="23" t="str">
        <f>MakeLocationsCode(E92,F92)</f>
        <v>E7IL-6GYI</v>
      </c>
    </row>
    <row r="93" spans="1:7" ht="15.6" x14ac:dyDescent="0.45">
      <c r="A93" s="16" t="s">
        <v>122</v>
      </c>
      <c r="B93" s="16" t="s">
        <v>21</v>
      </c>
      <c r="C93" s="16" t="s">
        <v>22</v>
      </c>
      <c r="D93" s="16" t="s">
        <v>72</v>
      </c>
      <c r="E93" s="17">
        <v>46.201599999999999</v>
      </c>
      <c r="F93" s="17">
        <v>-118.98909999999999</v>
      </c>
      <c r="G93" s="23" t="str">
        <f>MakeLocationsCode(E93,F93)</f>
        <v>E7IL-7ZEZ</v>
      </c>
    </row>
    <row r="94" spans="1:7" ht="15.6" x14ac:dyDescent="0.45">
      <c r="A94" s="16" t="s">
        <v>123</v>
      </c>
      <c r="B94" s="16" t="s">
        <v>21</v>
      </c>
      <c r="C94" s="16" t="s">
        <v>22</v>
      </c>
      <c r="D94" s="16" t="s">
        <v>124</v>
      </c>
      <c r="E94" s="17">
        <v>46.2498</v>
      </c>
      <c r="F94" s="17">
        <v>-119.1687</v>
      </c>
      <c r="G94" s="23" t="str">
        <f>MakeLocationsCode(E94,F94)</f>
        <v>E7IL-CGHZ</v>
      </c>
    </row>
    <row r="95" spans="1:7" ht="15.6" x14ac:dyDescent="0.45">
      <c r="A95" s="16" t="s">
        <v>125</v>
      </c>
      <c r="B95" s="16" t="s">
        <v>21</v>
      </c>
      <c r="C95" s="16" t="s">
        <v>22</v>
      </c>
      <c r="D95" s="16" t="s">
        <v>124</v>
      </c>
      <c r="E95" s="17">
        <v>46.250599999999999</v>
      </c>
      <c r="F95" s="17">
        <v>-119.1305</v>
      </c>
      <c r="G95" s="23" t="str">
        <f>MakeLocationsCode(E95,F95)</f>
        <v>E7IL-CLK2</v>
      </c>
    </row>
    <row r="96" spans="1:7" ht="15.6" x14ac:dyDescent="0.45">
      <c r="A96" s="16" t="s">
        <v>126</v>
      </c>
      <c r="B96" s="16" t="s">
        <v>21</v>
      </c>
      <c r="C96" s="16" t="s">
        <v>22</v>
      </c>
      <c r="D96" s="16" t="s">
        <v>116</v>
      </c>
      <c r="E96" s="17">
        <v>46.282400000000003</v>
      </c>
      <c r="F96" s="17">
        <v>-119.29389999999999</v>
      </c>
      <c r="G96" s="23" t="str">
        <f>MakeLocationsCode(E96,F96)</f>
        <v>E7IL-F3XQ</v>
      </c>
    </row>
    <row r="97" spans="1:7" ht="15.6" x14ac:dyDescent="0.45">
      <c r="A97" s="16" t="s">
        <v>127</v>
      </c>
      <c r="B97" s="16" t="s">
        <v>21</v>
      </c>
      <c r="C97" s="16" t="s">
        <v>22</v>
      </c>
      <c r="D97" s="16" t="s">
        <v>72</v>
      </c>
      <c r="E97" s="17">
        <v>46.269799999999996</v>
      </c>
      <c r="F97" s="17">
        <v>-118.15089999999999</v>
      </c>
      <c r="G97" s="23" t="str">
        <f>MakeLocationsCode(E97,F97)</f>
        <v>E7IO-EMLR</v>
      </c>
    </row>
    <row r="98" spans="1:7" ht="15.6" x14ac:dyDescent="0.45">
      <c r="A98" s="16" t="s">
        <v>128</v>
      </c>
      <c r="B98" s="16" t="s">
        <v>21</v>
      </c>
      <c r="C98" s="16" t="s">
        <v>22</v>
      </c>
      <c r="D98" s="16" t="s">
        <v>72</v>
      </c>
      <c r="E98" s="17">
        <v>46.2988</v>
      </c>
      <c r="F98" s="17">
        <v>-118.3126</v>
      </c>
      <c r="G98" s="23" t="str">
        <f>MakeLocationsCode(E98,F98)</f>
        <v>E7IO-H5ON</v>
      </c>
    </row>
    <row r="99" spans="1:7" ht="15.6" x14ac:dyDescent="0.45">
      <c r="A99" s="16" t="s">
        <v>129</v>
      </c>
      <c r="B99" s="16" t="s">
        <v>21</v>
      </c>
      <c r="C99" s="16" t="s">
        <v>22</v>
      </c>
      <c r="D99" s="16" t="s">
        <v>130</v>
      </c>
      <c r="E99" s="17">
        <v>46.316800000000001</v>
      </c>
      <c r="F99" s="17">
        <v>-117.97669999999999</v>
      </c>
      <c r="G99" s="23" t="str">
        <f>MakeLocationsCode(E99,F99)</f>
        <v>E7IP-J7K8</v>
      </c>
    </row>
    <row r="100" spans="1:7" ht="15.6" x14ac:dyDescent="0.45">
      <c r="A100" s="16" t="s">
        <v>131</v>
      </c>
      <c r="B100" s="16" t="s">
        <v>21</v>
      </c>
      <c r="C100" s="16" t="s">
        <v>22</v>
      </c>
      <c r="D100" s="16" t="s">
        <v>79</v>
      </c>
      <c r="E100" s="17">
        <v>46.377000000000002</v>
      </c>
      <c r="F100" s="17">
        <v>-117.092</v>
      </c>
      <c r="G100" s="23" t="str">
        <f>MakeLocationsCode(E100,F100)</f>
        <v>E7IR-PWXV</v>
      </c>
    </row>
    <row r="101" spans="1:7" ht="15.6" x14ac:dyDescent="0.45">
      <c r="A101" s="16" t="s">
        <v>132</v>
      </c>
      <c r="B101" s="16" t="s">
        <v>21</v>
      </c>
      <c r="C101" s="16" t="s">
        <v>22</v>
      </c>
      <c r="D101" s="16" t="s">
        <v>79</v>
      </c>
      <c r="E101" s="17">
        <v>46.401699999999998</v>
      </c>
      <c r="F101" s="17">
        <v>-117.0624</v>
      </c>
      <c r="G101" s="23" t="str">
        <f>MakeLocationsCode(E101,F101)</f>
        <v>E7IR-SZKZ</v>
      </c>
    </row>
    <row r="102" spans="1:7" ht="15.6" x14ac:dyDescent="0.45">
      <c r="A102" s="16" t="s">
        <v>79</v>
      </c>
      <c r="B102" s="16" t="s">
        <v>21</v>
      </c>
      <c r="C102" s="16" t="s">
        <v>22</v>
      </c>
      <c r="D102" s="16" t="s">
        <v>79</v>
      </c>
      <c r="E102" s="17">
        <v>46.336599999999997</v>
      </c>
      <c r="F102" s="17">
        <v>-117.0414</v>
      </c>
      <c r="G102" s="23" t="str">
        <f>MakeLocationsCode(E102,F102)</f>
        <v>E7IS-L4O9</v>
      </c>
    </row>
    <row r="103" spans="1:7" ht="15.6" x14ac:dyDescent="0.45">
      <c r="A103" s="16" t="s">
        <v>133</v>
      </c>
      <c r="B103" s="16" t="s">
        <v>21</v>
      </c>
      <c r="C103" s="16" t="s">
        <v>22</v>
      </c>
      <c r="D103" s="16" t="s">
        <v>79</v>
      </c>
      <c r="E103" s="17">
        <v>46.4161</v>
      </c>
      <c r="F103" s="17">
        <v>-117.0505</v>
      </c>
      <c r="G103" s="23" t="str">
        <f>MakeLocationsCode(E103,F103)</f>
        <v>E7IS-U34A</v>
      </c>
    </row>
    <row r="104" spans="1:7" ht="15.6" x14ac:dyDescent="0.45">
      <c r="A104" s="16" t="s">
        <v>134</v>
      </c>
      <c r="B104" s="16" t="s">
        <v>21</v>
      </c>
      <c r="C104" s="16" t="s">
        <v>22</v>
      </c>
      <c r="D104" s="16" t="s">
        <v>81</v>
      </c>
      <c r="E104" s="17">
        <v>46.496099999999998</v>
      </c>
      <c r="F104" s="17">
        <v>-124.04430000000001</v>
      </c>
      <c r="G104" s="23" t="str">
        <f>MakeLocationsCode(E104,F104)</f>
        <v>E7J6-4AKR</v>
      </c>
    </row>
    <row r="105" spans="1:7" ht="15.6" x14ac:dyDescent="0.45">
      <c r="A105" s="16" t="s">
        <v>135</v>
      </c>
      <c r="B105" s="16" t="s">
        <v>21</v>
      </c>
      <c r="C105" s="16" t="s">
        <v>22</v>
      </c>
      <c r="D105" s="16" t="s">
        <v>81</v>
      </c>
      <c r="E105" s="17">
        <v>46.621299999999998</v>
      </c>
      <c r="F105" s="17">
        <v>-123.9533</v>
      </c>
      <c r="G105" s="23" t="str">
        <f>MakeLocationsCode(E105,F105)</f>
        <v>E7J6-HKTE</v>
      </c>
    </row>
    <row r="106" spans="1:7" ht="15.6" x14ac:dyDescent="0.45">
      <c r="A106" s="16" t="s">
        <v>136</v>
      </c>
      <c r="B106" s="16" t="s">
        <v>21</v>
      </c>
      <c r="C106" s="16" t="s">
        <v>22</v>
      </c>
      <c r="D106" s="16" t="s">
        <v>81</v>
      </c>
      <c r="E106" s="17">
        <v>46.709000000000003</v>
      </c>
      <c r="F106" s="17">
        <v>-123.98390000000001</v>
      </c>
      <c r="G106" s="23" t="str">
        <f>MakeLocationsCode(E106,F106)</f>
        <v>E7J6-RH46</v>
      </c>
    </row>
    <row r="107" spans="1:7" ht="15.6" x14ac:dyDescent="0.45">
      <c r="A107" s="16" t="s">
        <v>137</v>
      </c>
      <c r="B107" s="16" t="s">
        <v>21</v>
      </c>
      <c r="C107" s="16" t="s">
        <v>22</v>
      </c>
      <c r="D107" s="16" t="s">
        <v>81</v>
      </c>
      <c r="E107" s="17">
        <v>46.564</v>
      </c>
      <c r="F107" s="17">
        <v>-123.5508</v>
      </c>
      <c r="G107" s="23" t="str">
        <f>MakeLocationsCode(E107,F107)</f>
        <v>E7J7-BSQZ</v>
      </c>
    </row>
    <row r="108" spans="1:7" ht="15.6" x14ac:dyDescent="0.45">
      <c r="A108" s="16" t="s">
        <v>138</v>
      </c>
      <c r="B108" s="16" t="s">
        <v>21</v>
      </c>
      <c r="C108" s="16" t="s">
        <v>22</v>
      </c>
      <c r="D108" s="16" t="s">
        <v>81</v>
      </c>
      <c r="E108" s="17">
        <v>46.6678</v>
      </c>
      <c r="F108" s="17">
        <v>-123.8006</v>
      </c>
      <c r="G108" s="23" t="str">
        <f>MakeLocationsCode(E108,F108)</f>
        <v>E7J7-M2QK</v>
      </c>
    </row>
    <row r="109" spans="1:7" ht="15.6" x14ac:dyDescent="0.45">
      <c r="A109" s="16" t="s">
        <v>139</v>
      </c>
      <c r="B109" s="16" t="s">
        <v>21</v>
      </c>
      <c r="C109" s="16" t="s">
        <v>22</v>
      </c>
      <c r="D109" s="16" t="s">
        <v>81</v>
      </c>
      <c r="E109" s="17">
        <v>46.6755</v>
      </c>
      <c r="F109" s="17">
        <v>-123.6648</v>
      </c>
      <c r="G109" s="23" t="str">
        <f>MakeLocationsCode(E109,F109)</f>
        <v>E7J7-NGKX</v>
      </c>
    </row>
    <row r="110" spans="1:7" ht="15.6" x14ac:dyDescent="0.45">
      <c r="A110" s="16" t="s">
        <v>140</v>
      </c>
      <c r="B110" s="16" t="s">
        <v>21</v>
      </c>
      <c r="C110" s="16" t="s">
        <v>22</v>
      </c>
      <c r="D110" s="16" t="s">
        <v>81</v>
      </c>
      <c r="E110" s="17">
        <v>46.683900000000001</v>
      </c>
      <c r="F110" s="17">
        <v>-123.738</v>
      </c>
      <c r="G110" s="23" t="str">
        <f>MakeLocationsCode(E110,F110)</f>
        <v>E7J7-O9G7</v>
      </c>
    </row>
    <row r="111" spans="1:7" ht="15.6" x14ac:dyDescent="0.45">
      <c r="A111" s="16" t="s">
        <v>141</v>
      </c>
      <c r="B111" s="16" t="s">
        <v>21</v>
      </c>
      <c r="C111" s="16" t="s">
        <v>22</v>
      </c>
      <c r="D111" s="16" t="s">
        <v>102</v>
      </c>
      <c r="E111" s="17">
        <v>46.571300000000001</v>
      </c>
      <c r="F111" s="17">
        <v>-123.29819999999999</v>
      </c>
      <c r="G111" s="23" t="str">
        <f>MakeLocationsCode(E111,F111)</f>
        <v>E7J8-CLJQ</v>
      </c>
    </row>
    <row r="112" spans="1:7" ht="15.6" x14ac:dyDescent="0.45">
      <c r="A112" s="16" t="s">
        <v>142</v>
      </c>
      <c r="B112" s="16" t="s">
        <v>21</v>
      </c>
      <c r="C112" s="16" t="s">
        <v>22</v>
      </c>
      <c r="D112" s="16" t="s">
        <v>102</v>
      </c>
      <c r="E112" s="17">
        <v>46.490699999999997</v>
      </c>
      <c r="F112" s="17">
        <v>-122.9341</v>
      </c>
      <c r="G112" s="23" t="str">
        <f>MakeLocationsCode(E112,F112)</f>
        <v>E7J9-3QZB</v>
      </c>
    </row>
    <row r="113" spans="1:7" ht="15.6" x14ac:dyDescent="0.45">
      <c r="A113" s="16" t="s">
        <v>143</v>
      </c>
      <c r="B113" s="16" t="s">
        <v>21</v>
      </c>
      <c r="C113" s="16" t="s">
        <v>22</v>
      </c>
      <c r="D113" s="16" t="s">
        <v>102</v>
      </c>
      <c r="E113" s="17">
        <v>46.584299999999999</v>
      </c>
      <c r="F113" s="17">
        <v>-122.9007</v>
      </c>
      <c r="G113" s="23" t="str">
        <f>MakeLocationsCode(E113,F113)</f>
        <v>E7J9-DTVT</v>
      </c>
    </row>
    <row r="114" spans="1:7" ht="15.6" x14ac:dyDescent="0.45">
      <c r="A114" s="16" t="s">
        <v>144</v>
      </c>
      <c r="B114" s="16" t="s">
        <v>21</v>
      </c>
      <c r="C114" s="16" t="s">
        <v>22</v>
      </c>
      <c r="D114" s="16" t="s">
        <v>102</v>
      </c>
      <c r="E114" s="17">
        <v>46.663800000000002</v>
      </c>
      <c r="F114" s="17">
        <v>-122.965</v>
      </c>
      <c r="G114" s="23" t="str">
        <f>MakeLocationsCode(E114,F114)</f>
        <v>E7J9-MNC2</v>
      </c>
    </row>
    <row r="115" spans="1:7" ht="15.6" x14ac:dyDescent="0.45">
      <c r="A115" s="16" t="s">
        <v>145</v>
      </c>
      <c r="B115" s="16" t="s">
        <v>21</v>
      </c>
      <c r="C115" s="16" t="s">
        <v>22</v>
      </c>
      <c r="D115" s="16" t="s">
        <v>102</v>
      </c>
      <c r="E115" s="17">
        <v>46.722299999999997</v>
      </c>
      <c r="F115" s="17">
        <v>-122.9696</v>
      </c>
      <c r="G115" s="23" t="str">
        <f>MakeLocationsCode(E115,F115)</f>
        <v>E7J9-SMIJ</v>
      </c>
    </row>
    <row r="116" spans="1:7" ht="15.6" x14ac:dyDescent="0.45">
      <c r="A116" s="16" t="s">
        <v>146</v>
      </c>
      <c r="B116" s="16" t="s">
        <v>21</v>
      </c>
      <c r="C116" s="16" t="s">
        <v>22</v>
      </c>
      <c r="D116" s="16" t="s">
        <v>102</v>
      </c>
      <c r="E116" s="17">
        <v>46.745899999999999</v>
      </c>
      <c r="F116" s="17">
        <v>-123.003</v>
      </c>
      <c r="G116" s="23" t="str">
        <f>MakeLocationsCode(E116,F116)</f>
        <v>E7J9-UIZZ</v>
      </c>
    </row>
    <row r="117" spans="1:7" ht="15.6" x14ac:dyDescent="0.45">
      <c r="A117" s="16" t="s">
        <v>147</v>
      </c>
      <c r="B117" s="16" t="s">
        <v>21</v>
      </c>
      <c r="C117" s="16" t="s">
        <v>22</v>
      </c>
      <c r="D117" s="16" t="s">
        <v>102</v>
      </c>
      <c r="E117" s="17">
        <v>46.578200000000002</v>
      </c>
      <c r="F117" s="17">
        <v>-122.7114</v>
      </c>
      <c r="G117" s="23" t="str">
        <f>MakeLocationsCode(E117,F117)</f>
        <v>E7JA-DFAV</v>
      </c>
    </row>
    <row r="118" spans="1:7" ht="15.6" x14ac:dyDescent="0.45">
      <c r="A118" s="16" t="s">
        <v>148</v>
      </c>
      <c r="B118" s="16" t="s">
        <v>21</v>
      </c>
      <c r="C118" s="16" t="s">
        <v>22</v>
      </c>
      <c r="D118" s="16" t="s">
        <v>102</v>
      </c>
      <c r="E118" s="17">
        <v>46.530500000000004</v>
      </c>
      <c r="F118" s="17">
        <v>-122.48869999999999</v>
      </c>
      <c r="G118" s="23" t="str">
        <f>MakeLocationsCode(E118,F118)</f>
        <v>E7JB-858H</v>
      </c>
    </row>
    <row r="119" spans="1:7" ht="15.6" x14ac:dyDescent="0.45">
      <c r="A119" s="16" t="s">
        <v>149</v>
      </c>
      <c r="B119" s="16" t="s">
        <v>21</v>
      </c>
      <c r="C119" s="16" t="s">
        <v>22</v>
      </c>
      <c r="D119" s="16" t="s">
        <v>102</v>
      </c>
      <c r="E119" s="17">
        <v>46.557499999999997</v>
      </c>
      <c r="F119" s="17">
        <v>-122.28149999999999</v>
      </c>
      <c r="G119" s="23" t="str">
        <f>MakeLocationsCode(E119,F119)</f>
        <v>E7JB-BR3F</v>
      </c>
    </row>
    <row r="120" spans="1:7" ht="15.6" x14ac:dyDescent="0.45">
      <c r="A120" s="16" t="s">
        <v>150</v>
      </c>
      <c r="B120" s="16" t="s">
        <v>21</v>
      </c>
      <c r="C120" s="16" t="s">
        <v>22</v>
      </c>
      <c r="D120" s="16" t="s">
        <v>151</v>
      </c>
      <c r="E120" s="17">
        <v>46.787199999999999</v>
      </c>
      <c r="F120" s="17">
        <v>-122.2667</v>
      </c>
      <c r="G120" s="23" t="str">
        <f>MakeLocationsCode(E120,F120)</f>
        <v>E7JB-ZSEY</v>
      </c>
    </row>
    <row r="121" spans="1:7" ht="15.6" x14ac:dyDescent="0.45">
      <c r="A121" s="16" t="s">
        <v>152</v>
      </c>
      <c r="B121" s="16" t="s">
        <v>21</v>
      </c>
      <c r="C121" s="16" t="s">
        <v>22</v>
      </c>
      <c r="D121" s="16" t="s">
        <v>102</v>
      </c>
      <c r="E121" s="17">
        <v>46.719299999999997</v>
      </c>
      <c r="F121" s="17">
        <v>-122.18600000000001</v>
      </c>
      <c r="G121" s="23" t="str">
        <f>MakeLocationsCode(E121,F121)</f>
        <v>E7JC-S37I</v>
      </c>
    </row>
    <row r="122" spans="1:7" ht="15.6" x14ac:dyDescent="0.45">
      <c r="A122" s="16" t="s">
        <v>153</v>
      </c>
      <c r="B122" s="16" t="s">
        <v>21</v>
      </c>
      <c r="C122" s="16" t="s">
        <v>22</v>
      </c>
      <c r="D122" s="16" t="s">
        <v>151</v>
      </c>
      <c r="E122" s="17">
        <v>46.755099999999999</v>
      </c>
      <c r="F122" s="17">
        <v>-122.01430000000001</v>
      </c>
      <c r="G122" s="23" t="str">
        <f>MakeLocationsCode(E122,F122)</f>
        <v>E7JC-VLYP</v>
      </c>
    </row>
    <row r="123" spans="1:7" ht="15.6" x14ac:dyDescent="0.45">
      <c r="A123" s="16" t="s">
        <v>154</v>
      </c>
      <c r="B123" s="16" t="s">
        <v>21</v>
      </c>
      <c r="C123" s="16" t="s">
        <v>22</v>
      </c>
      <c r="D123" s="16" t="s">
        <v>151</v>
      </c>
      <c r="E123" s="17">
        <v>46.765300000000003</v>
      </c>
      <c r="F123" s="17">
        <v>-122.1956</v>
      </c>
      <c r="G123" s="23" t="str">
        <f>MakeLocationsCode(E123,F123)</f>
        <v>E7JC-X23I</v>
      </c>
    </row>
    <row r="124" spans="1:7" ht="15.6" x14ac:dyDescent="0.45">
      <c r="A124" s="16" t="s">
        <v>155</v>
      </c>
      <c r="B124" s="16" t="s">
        <v>21</v>
      </c>
      <c r="C124" s="16" t="s">
        <v>22</v>
      </c>
      <c r="D124" s="16" t="s">
        <v>102</v>
      </c>
      <c r="E124" s="17">
        <v>46.608499999999999</v>
      </c>
      <c r="F124" s="17">
        <v>-121.6703</v>
      </c>
      <c r="G124" s="23" t="str">
        <f>MakeLocationsCode(E124,F124)</f>
        <v>E7JD-GOH5</v>
      </c>
    </row>
    <row r="125" spans="1:7" ht="15.6" x14ac:dyDescent="0.45">
      <c r="A125" s="16" t="s">
        <v>156</v>
      </c>
      <c r="B125" s="16" t="s">
        <v>21</v>
      </c>
      <c r="C125" s="16" t="s">
        <v>22</v>
      </c>
      <c r="D125" s="16" t="s">
        <v>105</v>
      </c>
      <c r="E125" s="17">
        <v>46.533200000000001</v>
      </c>
      <c r="F125" s="17">
        <v>-120.8742</v>
      </c>
      <c r="G125" s="23" t="str">
        <f>MakeLocationsCode(E125,F125)</f>
        <v>E7JG-86IF</v>
      </c>
    </row>
    <row r="126" spans="1:7" ht="15.6" x14ac:dyDescent="0.45">
      <c r="A126" s="16" t="s">
        <v>157</v>
      </c>
      <c r="B126" s="16" t="s">
        <v>21</v>
      </c>
      <c r="C126" s="16" t="s">
        <v>22</v>
      </c>
      <c r="D126" s="16" t="s">
        <v>105</v>
      </c>
      <c r="E126" s="17">
        <v>46.557299999999998</v>
      </c>
      <c r="F126" s="17">
        <v>-120.6138</v>
      </c>
      <c r="G126" s="23" t="str">
        <f>MakeLocationsCode(E126,F126)</f>
        <v>E7JG-BX2Y</v>
      </c>
    </row>
    <row r="127" spans="1:7" ht="15.6" x14ac:dyDescent="0.45">
      <c r="A127" s="16" t="s">
        <v>158</v>
      </c>
      <c r="B127" s="16" t="s">
        <v>21</v>
      </c>
      <c r="C127" s="16" t="s">
        <v>22</v>
      </c>
      <c r="D127" s="16" t="s">
        <v>105</v>
      </c>
      <c r="E127" s="17">
        <v>46.659399999999998</v>
      </c>
      <c r="F127" s="17">
        <v>-120.60250000000001</v>
      </c>
      <c r="G127" s="23" t="str">
        <f>MakeLocationsCode(E127,F127)</f>
        <v>E7JG-LZU7</v>
      </c>
    </row>
    <row r="128" spans="1:7" ht="15.6" x14ac:dyDescent="0.45">
      <c r="A128" s="16" t="s">
        <v>159</v>
      </c>
      <c r="B128" s="16" t="s">
        <v>21</v>
      </c>
      <c r="C128" s="16" t="s">
        <v>22</v>
      </c>
      <c r="D128" s="16" t="s">
        <v>105</v>
      </c>
      <c r="E128" s="17">
        <v>46.667000000000002</v>
      </c>
      <c r="F128" s="17">
        <v>-120.6337</v>
      </c>
      <c r="G128" s="23" t="str">
        <f>MakeLocationsCode(E128,F128)</f>
        <v>E7JG-MVNV</v>
      </c>
    </row>
    <row r="129" spans="1:7" ht="15.6" x14ac:dyDescent="0.45">
      <c r="A129" s="16" t="s">
        <v>160</v>
      </c>
      <c r="B129" s="16" t="s">
        <v>21</v>
      </c>
      <c r="C129" s="16" t="s">
        <v>22</v>
      </c>
      <c r="D129" s="16" t="s">
        <v>105</v>
      </c>
      <c r="E129" s="17">
        <v>46.671900000000001</v>
      </c>
      <c r="F129" s="17">
        <v>-120.712</v>
      </c>
      <c r="G129" s="23" t="str">
        <f>MakeLocationsCode(E129,F129)</f>
        <v>E7JG-NN7L</v>
      </c>
    </row>
    <row r="130" spans="1:7" ht="15.6" x14ac:dyDescent="0.45">
      <c r="A130" s="16" t="s">
        <v>161</v>
      </c>
      <c r="B130" s="16" t="s">
        <v>21</v>
      </c>
      <c r="C130" s="16" t="s">
        <v>22</v>
      </c>
      <c r="D130" s="16" t="s">
        <v>105</v>
      </c>
      <c r="E130" s="17">
        <v>46.7027</v>
      </c>
      <c r="F130" s="17">
        <v>-120.756</v>
      </c>
      <c r="G130" s="23" t="str">
        <f>MakeLocationsCode(E130,F130)</f>
        <v>E7JG-QIGW</v>
      </c>
    </row>
    <row r="131" spans="1:7" ht="15.6" x14ac:dyDescent="0.45">
      <c r="A131" s="16" t="s">
        <v>162</v>
      </c>
      <c r="B131" s="16" t="s">
        <v>21</v>
      </c>
      <c r="C131" s="16" t="s">
        <v>22</v>
      </c>
      <c r="D131" s="16" t="s">
        <v>105</v>
      </c>
      <c r="E131" s="17">
        <v>46.7258</v>
      </c>
      <c r="F131" s="17">
        <v>-120.6909</v>
      </c>
      <c r="G131" s="23" t="str">
        <f>MakeLocationsCode(E131,F131)</f>
        <v>E7JG-SPVT</v>
      </c>
    </row>
    <row r="132" spans="1:7" ht="15.6" x14ac:dyDescent="0.45">
      <c r="A132" s="16" t="s">
        <v>163</v>
      </c>
      <c r="B132" s="16" t="s">
        <v>21</v>
      </c>
      <c r="C132" s="16" t="s">
        <v>22</v>
      </c>
      <c r="D132" s="16" t="s">
        <v>105</v>
      </c>
      <c r="E132" s="17">
        <v>46.476500000000001</v>
      </c>
      <c r="F132" s="17">
        <v>-120.39749999999999</v>
      </c>
      <c r="G132" s="23" t="str">
        <f>MakeLocationsCode(E132,F132)</f>
        <v>E7JH-2MHV</v>
      </c>
    </row>
    <row r="133" spans="1:7" ht="15.6" x14ac:dyDescent="0.45">
      <c r="A133" s="16" t="s">
        <v>164</v>
      </c>
      <c r="B133" s="16" t="s">
        <v>21</v>
      </c>
      <c r="C133" s="16" t="s">
        <v>22</v>
      </c>
      <c r="D133" s="16" t="s">
        <v>105</v>
      </c>
      <c r="E133" s="17">
        <v>46.502099999999999</v>
      </c>
      <c r="F133" s="17">
        <v>-120.46680000000001</v>
      </c>
      <c r="G133" s="23" t="str">
        <f>MakeLocationsCode(E133,F133)</f>
        <v>E7JH-5F8K</v>
      </c>
    </row>
    <row r="134" spans="1:7" ht="15.6" x14ac:dyDescent="0.45">
      <c r="A134" s="16" t="s">
        <v>165</v>
      </c>
      <c r="B134" s="16" t="s">
        <v>21</v>
      </c>
      <c r="C134" s="16" t="s">
        <v>22</v>
      </c>
      <c r="D134" s="16" t="s">
        <v>105</v>
      </c>
      <c r="E134" s="17">
        <v>46.556600000000003</v>
      </c>
      <c r="F134" s="17">
        <v>-120.4979</v>
      </c>
      <c r="G134" s="23" t="str">
        <f>MakeLocationsCode(E134,F134)</f>
        <v>E7JH-ACYA</v>
      </c>
    </row>
    <row r="135" spans="1:7" ht="15.6" x14ac:dyDescent="0.45">
      <c r="A135" s="16" t="s">
        <v>166</v>
      </c>
      <c r="B135" s="16" t="s">
        <v>21</v>
      </c>
      <c r="C135" s="16" t="s">
        <v>22</v>
      </c>
      <c r="D135" s="16" t="s">
        <v>105</v>
      </c>
      <c r="E135" s="17">
        <v>46.564</v>
      </c>
      <c r="F135" s="17">
        <v>-120.39660000000001</v>
      </c>
      <c r="G135" s="23" t="str">
        <f>MakeLocationsCode(E135,F135)</f>
        <v>E7JH-BMQY</v>
      </c>
    </row>
    <row r="136" spans="1:7" ht="15.6" x14ac:dyDescent="0.45">
      <c r="A136" s="16" t="s">
        <v>105</v>
      </c>
      <c r="B136" s="16" t="s">
        <v>21</v>
      </c>
      <c r="C136" s="16" t="s">
        <v>22</v>
      </c>
      <c r="D136" s="16" t="s">
        <v>105</v>
      </c>
      <c r="E136" s="17">
        <v>46.592300000000002</v>
      </c>
      <c r="F136" s="17">
        <v>-120.5496</v>
      </c>
      <c r="G136" s="23" t="str">
        <f>MakeLocationsCode(E136,F136)</f>
        <v>E7JH-E6QR</v>
      </c>
    </row>
    <row r="137" spans="1:7" ht="15.6" x14ac:dyDescent="0.45">
      <c r="A137" s="16" t="s">
        <v>167</v>
      </c>
      <c r="B137" s="16" t="s">
        <v>21</v>
      </c>
      <c r="C137" s="16" t="s">
        <v>22</v>
      </c>
      <c r="D137" s="16" t="s">
        <v>105</v>
      </c>
      <c r="E137" s="17">
        <v>46.604500000000002</v>
      </c>
      <c r="F137" s="17">
        <v>-120.4393</v>
      </c>
      <c r="G137" s="23" t="str">
        <f>MakeLocationsCode(E137,F137)</f>
        <v>E7JH-GI2H</v>
      </c>
    </row>
    <row r="138" spans="1:7" ht="15.6" x14ac:dyDescent="0.45">
      <c r="A138" s="16" t="s">
        <v>168</v>
      </c>
      <c r="B138" s="16" t="s">
        <v>21</v>
      </c>
      <c r="C138" s="16" t="s">
        <v>22</v>
      </c>
      <c r="D138" s="16" t="s">
        <v>105</v>
      </c>
      <c r="E138" s="17">
        <v>46.648099999999999</v>
      </c>
      <c r="F138" s="17">
        <v>-120.539</v>
      </c>
      <c r="G138" s="23" t="str">
        <f>MakeLocationsCode(E138,F138)</f>
        <v>E7JH-K7NW</v>
      </c>
    </row>
    <row r="139" spans="1:7" ht="15.6" x14ac:dyDescent="0.45">
      <c r="A139" s="16" t="s">
        <v>169</v>
      </c>
      <c r="B139" s="16" t="s">
        <v>21</v>
      </c>
      <c r="C139" s="16" t="s">
        <v>22</v>
      </c>
      <c r="D139" s="16" t="s">
        <v>170</v>
      </c>
      <c r="E139" s="17">
        <v>46.6873</v>
      </c>
      <c r="F139" s="17">
        <v>-119.931</v>
      </c>
      <c r="G139" s="23" t="str">
        <f>MakeLocationsCode(E139,F139)</f>
        <v>E7JJ-O4SA</v>
      </c>
    </row>
    <row r="140" spans="1:7" ht="15.6" x14ac:dyDescent="0.45">
      <c r="A140" s="16" t="s">
        <v>171</v>
      </c>
      <c r="B140" s="16" t="s">
        <v>21</v>
      </c>
      <c r="C140" s="16" t="s">
        <v>22</v>
      </c>
      <c r="D140" s="16" t="s">
        <v>170</v>
      </c>
      <c r="E140" s="17">
        <v>46.737000000000002</v>
      </c>
      <c r="F140" s="17">
        <v>-119.90430000000001</v>
      </c>
      <c r="G140" s="23" t="str">
        <f>MakeLocationsCode(E140,F140)</f>
        <v>E7JJ-U735</v>
      </c>
    </row>
    <row r="141" spans="1:7" ht="15.6" x14ac:dyDescent="0.45">
      <c r="A141" s="16" t="s">
        <v>172</v>
      </c>
      <c r="B141" s="16" t="s">
        <v>21</v>
      </c>
      <c r="C141" s="16" t="s">
        <v>22</v>
      </c>
      <c r="D141" s="16" t="s">
        <v>124</v>
      </c>
      <c r="E141" s="17">
        <v>46.573500000000003</v>
      </c>
      <c r="F141" s="17">
        <v>-119.0013</v>
      </c>
      <c r="G141" s="23" t="str">
        <f>MakeLocationsCode(E141,F141)</f>
        <v>E7JL-CYRP</v>
      </c>
    </row>
    <row r="142" spans="1:7" ht="15.6" x14ac:dyDescent="0.45">
      <c r="A142" s="16" t="s">
        <v>173</v>
      </c>
      <c r="B142" s="16" t="s">
        <v>21</v>
      </c>
      <c r="C142" s="16" t="s">
        <v>22</v>
      </c>
      <c r="D142" s="16" t="s">
        <v>124</v>
      </c>
      <c r="E142" s="17">
        <v>46.588999999999999</v>
      </c>
      <c r="F142" s="17">
        <v>-119.1566</v>
      </c>
      <c r="G142" s="23" t="str">
        <f>MakeLocationsCode(E142,F142)</f>
        <v>E7JL-EIEA</v>
      </c>
    </row>
    <row r="143" spans="1:7" ht="15.6" x14ac:dyDescent="0.45">
      <c r="A143" s="16" t="s">
        <v>174</v>
      </c>
      <c r="B143" s="16" t="s">
        <v>21</v>
      </c>
      <c r="C143" s="16" t="s">
        <v>22</v>
      </c>
      <c r="D143" s="16" t="s">
        <v>124</v>
      </c>
      <c r="E143" s="17">
        <v>46.662199999999999</v>
      </c>
      <c r="F143" s="17">
        <v>-118.84050000000001</v>
      </c>
      <c r="G143" s="23" t="str">
        <f>MakeLocationsCode(E143,F143)</f>
        <v>E7JM-MH6Q</v>
      </c>
    </row>
    <row r="144" spans="1:7" ht="15.6" x14ac:dyDescent="0.45">
      <c r="A144" s="16" t="s">
        <v>175</v>
      </c>
      <c r="B144" s="16" t="s">
        <v>21</v>
      </c>
      <c r="C144" s="16" t="s">
        <v>22</v>
      </c>
      <c r="D144" s="16" t="s">
        <v>176</v>
      </c>
      <c r="E144" s="17">
        <v>46.773499999999999</v>
      </c>
      <c r="F144" s="17">
        <v>-118.82769999999999</v>
      </c>
      <c r="G144" s="23" t="str">
        <f>MakeLocationsCode(E144,F144)</f>
        <v>E7JM-XJX4</v>
      </c>
    </row>
    <row r="145" spans="1:7" ht="15.6" x14ac:dyDescent="0.45">
      <c r="A145" s="16" t="s">
        <v>177</v>
      </c>
      <c r="B145" s="16" t="s">
        <v>21</v>
      </c>
      <c r="C145" s="16" t="s">
        <v>22</v>
      </c>
      <c r="D145" s="16" t="s">
        <v>124</v>
      </c>
      <c r="E145" s="17">
        <v>46.643300000000004</v>
      </c>
      <c r="F145" s="17">
        <v>-118.55589999999999</v>
      </c>
      <c r="G145" s="23" t="str">
        <f>MakeLocationsCode(E145,F145)</f>
        <v>E7JN-KD6V</v>
      </c>
    </row>
    <row r="146" spans="1:7" ht="15.6" x14ac:dyDescent="0.45">
      <c r="A146" s="16" t="s">
        <v>178</v>
      </c>
      <c r="B146" s="16" t="s">
        <v>21</v>
      </c>
      <c r="C146" s="16" t="s">
        <v>22</v>
      </c>
      <c r="D146" s="16" t="s">
        <v>130</v>
      </c>
      <c r="E146" s="17">
        <v>46.518599999999999</v>
      </c>
      <c r="F146" s="17">
        <v>-118.1254</v>
      </c>
      <c r="G146" s="23" t="str">
        <f>MakeLocationsCode(E146,F146)</f>
        <v>E7JO-6PXH</v>
      </c>
    </row>
    <row r="147" spans="1:7" ht="15.6" x14ac:dyDescent="0.45">
      <c r="A147" s="16" t="s">
        <v>179</v>
      </c>
      <c r="B147" s="16" t="s">
        <v>21</v>
      </c>
      <c r="C147" s="16" t="s">
        <v>22</v>
      </c>
      <c r="D147" s="16" t="s">
        <v>176</v>
      </c>
      <c r="E147" s="17">
        <v>46.753900000000002</v>
      </c>
      <c r="F147" s="17">
        <v>-118.31059999999999</v>
      </c>
      <c r="G147" s="23" t="str">
        <f>MakeLocationsCode(E147,F147)</f>
        <v>E7JO-V5UU</v>
      </c>
    </row>
    <row r="148" spans="1:7" ht="15.6" x14ac:dyDescent="0.45">
      <c r="A148" s="16" t="s">
        <v>180</v>
      </c>
      <c r="B148" s="16" t="s">
        <v>21</v>
      </c>
      <c r="C148" s="16" t="s">
        <v>22</v>
      </c>
      <c r="D148" s="16" t="s">
        <v>181</v>
      </c>
      <c r="E148" s="17">
        <v>46.473799999999997</v>
      </c>
      <c r="F148" s="17">
        <v>-117.5964</v>
      </c>
      <c r="G148" s="23" t="str">
        <f>MakeLocationsCode(E148,F148)</f>
        <v>E7JQ-2D8H</v>
      </c>
    </row>
    <row r="149" spans="1:7" ht="15.6" x14ac:dyDescent="0.45">
      <c r="A149" s="16" t="s">
        <v>182</v>
      </c>
      <c r="B149" s="16" t="s">
        <v>21</v>
      </c>
      <c r="C149" s="16" t="s">
        <v>22</v>
      </c>
      <c r="D149" s="16" t="s">
        <v>181</v>
      </c>
      <c r="E149" s="17">
        <v>46.472700000000003</v>
      </c>
      <c r="F149" s="17">
        <v>-117.5445</v>
      </c>
      <c r="G149" s="23" t="str">
        <f>MakeLocationsCode(E149,F149)</f>
        <v>E7JQ-2I4Y</v>
      </c>
    </row>
    <row r="150" spans="1:7" ht="15.6" x14ac:dyDescent="0.45">
      <c r="A150" s="16" t="s">
        <v>183</v>
      </c>
      <c r="B150" s="16" t="s">
        <v>21</v>
      </c>
      <c r="C150" s="16" t="s">
        <v>22</v>
      </c>
      <c r="D150" s="16" t="s">
        <v>184</v>
      </c>
      <c r="E150" s="17">
        <v>46.539099999999998</v>
      </c>
      <c r="F150" s="17">
        <v>-117.0861</v>
      </c>
      <c r="G150" s="23" t="str">
        <f>MakeLocationsCode(E150,F150)</f>
        <v>E7JR-9X5I</v>
      </c>
    </row>
    <row r="151" spans="1:7" ht="15.6" x14ac:dyDescent="0.45">
      <c r="A151" s="16" t="s">
        <v>185</v>
      </c>
      <c r="B151" s="16" t="s">
        <v>21</v>
      </c>
      <c r="C151" s="16" t="s">
        <v>22</v>
      </c>
      <c r="D151" s="16" t="s">
        <v>184</v>
      </c>
      <c r="E151" s="17">
        <v>46.567500000000003</v>
      </c>
      <c r="F151" s="17">
        <v>-117.1284</v>
      </c>
      <c r="G151" s="23" t="str">
        <f>MakeLocationsCode(E151,F151)</f>
        <v>E7JR-CT52</v>
      </c>
    </row>
    <row r="152" spans="1:7" ht="15.6" x14ac:dyDescent="0.45">
      <c r="A152" s="16" t="s">
        <v>186</v>
      </c>
      <c r="B152" s="16" t="s">
        <v>21</v>
      </c>
      <c r="C152" s="16" t="s">
        <v>22</v>
      </c>
      <c r="D152" s="16" t="s">
        <v>184</v>
      </c>
      <c r="E152" s="17">
        <v>46.733600000000003</v>
      </c>
      <c r="F152" s="17">
        <v>-117.16800000000001</v>
      </c>
      <c r="G152" s="23" t="str">
        <f>MakeLocationsCode(E152,F152)</f>
        <v>E7JR-TOPT</v>
      </c>
    </row>
    <row r="153" spans="1:7" ht="15.6" x14ac:dyDescent="0.45">
      <c r="A153" s="16" t="s">
        <v>187</v>
      </c>
      <c r="B153" s="16" t="s">
        <v>21</v>
      </c>
      <c r="C153" s="16" t="s">
        <v>22</v>
      </c>
      <c r="D153" s="16" t="s">
        <v>184</v>
      </c>
      <c r="E153" s="17">
        <v>46.791600000000003</v>
      </c>
      <c r="F153" s="17">
        <v>-117.25109999999999</v>
      </c>
      <c r="G153" s="23" t="str">
        <f>MakeLocationsCode(E153,F153)</f>
        <v>E7JR-ZGU2</v>
      </c>
    </row>
    <row r="154" spans="1:7" ht="15.6" x14ac:dyDescent="0.45">
      <c r="A154" s="16" t="s">
        <v>188</v>
      </c>
      <c r="B154" s="16" t="s">
        <v>21</v>
      </c>
      <c r="C154" s="16" t="s">
        <v>22</v>
      </c>
      <c r="D154" s="16" t="s">
        <v>189</v>
      </c>
      <c r="E154" s="17">
        <v>46.968400000000003</v>
      </c>
      <c r="F154" s="17">
        <v>-124.152</v>
      </c>
      <c r="G154" s="23" t="str">
        <f>MakeLocationsCode(E154,F154)</f>
        <v>E7K5-KXKD</v>
      </c>
    </row>
    <row r="155" spans="1:7" ht="15.6" x14ac:dyDescent="0.45">
      <c r="A155" s="16" t="s">
        <v>190</v>
      </c>
      <c r="B155" s="16" t="s">
        <v>21</v>
      </c>
      <c r="C155" s="16" t="s">
        <v>22</v>
      </c>
      <c r="D155" s="16" t="s">
        <v>189</v>
      </c>
      <c r="E155" s="17">
        <v>47.023299999999999</v>
      </c>
      <c r="F155" s="17">
        <v>-124.1631</v>
      </c>
      <c r="G155" s="23" t="str">
        <f>MakeLocationsCode(E155,F155)</f>
        <v>E7K5-QWE7</v>
      </c>
    </row>
    <row r="156" spans="1:7" ht="15.6" x14ac:dyDescent="0.45">
      <c r="A156" s="16" t="s">
        <v>191</v>
      </c>
      <c r="B156" s="16" t="s">
        <v>21</v>
      </c>
      <c r="C156" s="16" t="s">
        <v>22</v>
      </c>
      <c r="D156" s="16" t="s">
        <v>189</v>
      </c>
      <c r="E156" s="17">
        <v>47.076300000000003</v>
      </c>
      <c r="F156" s="17">
        <v>-124.1619</v>
      </c>
      <c r="G156" s="23" t="str">
        <f>MakeLocationsCode(E156,F156)</f>
        <v>E7K5-VWZB</v>
      </c>
    </row>
    <row r="157" spans="1:7" ht="15.6" x14ac:dyDescent="0.45">
      <c r="A157" s="16" t="s">
        <v>192</v>
      </c>
      <c r="B157" s="16" t="s">
        <v>21</v>
      </c>
      <c r="C157" s="16" t="s">
        <v>22</v>
      </c>
      <c r="D157" s="16" t="s">
        <v>189</v>
      </c>
      <c r="E157" s="17">
        <v>46.830399999999997</v>
      </c>
      <c r="F157" s="17">
        <v>-124.0898</v>
      </c>
      <c r="G157" s="23" t="str">
        <f>MakeLocationsCode(E157,F157)</f>
        <v>E7K6-55XX</v>
      </c>
    </row>
    <row r="158" spans="1:7" ht="15.6" x14ac:dyDescent="0.45">
      <c r="A158" s="16" t="s">
        <v>193</v>
      </c>
      <c r="B158" s="16" t="s">
        <v>21</v>
      </c>
      <c r="C158" s="16" t="s">
        <v>22</v>
      </c>
      <c r="D158" s="16" t="s">
        <v>189</v>
      </c>
      <c r="E158" s="17">
        <v>46.865600000000001</v>
      </c>
      <c r="F158" s="17">
        <v>-124.1054</v>
      </c>
      <c r="G158" s="23" t="str">
        <f>MakeLocationsCode(E158,F158)</f>
        <v>E7K6-94OB</v>
      </c>
    </row>
    <row r="159" spans="1:7" ht="15.6" x14ac:dyDescent="0.45">
      <c r="A159" s="16" t="s">
        <v>194</v>
      </c>
      <c r="B159" s="16" t="s">
        <v>21</v>
      </c>
      <c r="C159" s="16" t="s">
        <v>22</v>
      </c>
      <c r="D159" s="16" t="s">
        <v>189</v>
      </c>
      <c r="E159" s="17">
        <v>46.8917</v>
      </c>
      <c r="F159" s="17">
        <v>-124.1118</v>
      </c>
      <c r="G159" s="23" t="str">
        <f>MakeLocationsCode(E159,F159)</f>
        <v>E7K6-C3GM</v>
      </c>
    </row>
    <row r="160" spans="1:7" ht="15.6" x14ac:dyDescent="0.45">
      <c r="A160" s="16" t="s">
        <v>195</v>
      </c>
      <c r="B160" s="16" t="s">
        <v>21</v>
      </c>
      <c r="C160" s="16" t="s">
        <v>22</v>
      </c>
      <c r="D160" s="16" t="s">
        <v>189</v>
      </c>
      <c r="E160" s="17">
        <v>46.891300000000001</v>
      </c>
      <c r="F160" s="17">
        <v>-124.0236</v>
      </c>
      <c r="G160" s="23" t="str">
        <f>MakeLocationsCode(E160,F160)</f>
        <v>E7K6-CCFX</v>
      </c>
    </row>
    <row r="161" spans="1:7" ht="15.6" x14ac:dyDescent="0.45">
      <c r="A161" s="16" t="s">
        <v>196</v>
      </c>
      <c r="B161" s="16" t="s">
        <v>21</v>
      </c>
      <c r="C161" s="16" t="s">
        <v>22</v>
      </c>
      <c r="D161" s="16" t="s">
        <v>189</v>
      </c>
      <c r="E161" s="17">
        <v>46.914999999999999</v>
      </c>
      <c r="F161" s="17">
        <v>-123.9823</v>
      </c>
      <c r="G161" s="23" t="str">
        <f>MakeLocationsCode(E161,F161)</f>
        <v>E7K6-EHWC</v>
      </c>
    </row>
    <row r="162" spans="1:7" ht="15.6" x14ac:dyDescent="0.45">
      <c r="A162" s="16" t="s">
        <v>197</v>
      </c>
      <c r="B162" s="16" t="s">
        <v>21</v>
      </c>
      <c r="C162" s="16" t="s">
        <v>22</v>
      </c>
      <c r="D162" s="16" t="s">
        <v>189</v>
      </c>
      <c r="E162" s="17">
        <v>46.975700000000003</v>
      </c>
      <c r="F162" s="17">
        <v>-123.8094</v>
      </c>
      <c r="G162" s="23" t="str">
        <f>MakeLocationsCode(E162,F162)</f>
        <v>E7K6-LZDM</v>
      </c>
    </row>
    <row r="163" spans="1:7" ht="15.6" x14ac:dyDescent="0.45">
      <c r="A163" s="16" t="s">
        <v>198</v>
      </c>
      <c r="B163" s="16" t="s">
        <v>21</v>
      </c>
      <c r="C163" s="16" t="s">
        <v>22</v>
      </c>
      <c r="D163" s="16" t="s">
        <v>189</v>
      </c>
      <c r="E163" s="17">
        <v>46.9863</v>
      </c>
      <c r="F163" s="17">
        <v>-123.90219999999999</v>
      </c>
      <c r="G163" s="23" t="str">
        <f>MakeLocationsCode(E163,F163)</f>
        <v>E7K6-MPHS</v>
      </c>
    </row>
    <row r="164" spans="1:7" ht="15.6" x14ac:dyDescent="0.45">
      <c r="A164" s="16" t="s">
        <v>199</v>
      </c>
      <c r="B164" s="16" t="s">
        <v>21</v>
      </c>
      <c r="C164" s="16" t="s">
        <v>22</v>
      </c>
      <c r="D164" s="16" t="s">
        <v>189</v>
      </c>
      <c r="E164" s="17">
        <v>46.954000000000001</v>
      </c>
      <c r="F164" s="17">
        <v>-123.7726</v>
      </c>
      <c r="G164" s="23" t="str">
        <f>MakeLocationsCode(E164,F164)</f>
        <v>E7K7-J52J</v>
      </c>
    </row>
    <row r="165" spans="1:7" ht="15.6" x14ac:dyDescent="0.45">
      <c r="A165" s="16" t="s">
        <v>200</v>
      </c>
      <c r="B165" s="16" t="s">
        <v>21</v>
      </c>
      <c r="C165" s="16" t="s">
        <v>22</v>
      </c>
      <c r="D165" s="16" t="s">
        <v>189</v>
      </c>
      <c r="E165" s="17">
        <v>46.970500000000001</v>
      </c>
      <c r="F165" s="17">
        <v>-123.70180000000001</v>
      </c>
      <c r="G165" s="23" t="str">
        <f>MakeLocationsCode(E165,F165)</f>
        <v>E7K7-KDS2</v>
      </c>
    </row>
    <row r="166" spans="1:7" ht="15.6" x14ac:dyDescent="0.45">
      <c r="A166" s="16" t="s">
        <v>201</v>
      </c>
      <c r="B166" s="16" t="s">
        <v>21</v>
      </c>
      <c r="C166" s="16" t="s">
        <v>22</v>
      </c>
      <c r="D166" s="16" t="s">
        <v>189</v>
      </c>
      <c r="E166" s="17">
        <v>47.010199999999998</v>
      </c>
      <c r="F166" s="17">
        <v>-123.5857</v>
      </c>
      <c r="G166" s="23" t="str">
        <f>MakeLocationsCode(E166,F166)</f>
        <v>E7K7-OPZB</v>
      </c>
    </row>
    <row r="167" spans="1:7" ht="15.6" x14ac:dyDescent="0.45">
      <c r="A167" s="16" t="s">
        <v>202</v>
      </c>
      <c r="B167" s="16" t="s">
        <v>21</v>
      </c>
      <c r="C167" s="16" t="s">
        <v>22</v>
      </c>
      <c r="D167" s="16" t="s">
        <v>189</v>
      </c>
      <c r="E167" s="17">
        <v>47.006399999999999</v>
      </c>
      <c r="F167" s="17">
        <v>-123.5321</v>
      </c>
      <c r="G167" s="23" t="str">
        <f>MakeLocationsCode(E167,F167)</f>
        <v>E7K7-OULY</v>
      </c>
    </row>
    <row r="168" spans="1:7" ht="15.6" x14ac:dyDescent="0.45">
      <c r="A168" s="16" t="s">
        <v>203</v>
      </c>
      <c r="B168" s="16" t="s">
        <v>21</v>
      </c>
      <c r="C168" s="16" t="s">
        <v>22</v>
      </c>
      <c r="D168" s="16" t="s">
        <v>189</v>
      </c>
      <c r="E168" s="17">
        <v>47.058700000000002</v>
      </c>
      <c r="F168" s="17">
        <v>-123.7791</v>
      </c>
      <c r="G168" s="23" t="str">
        <f>MakeLocationsCode(E168,F168)</f>
        <v>E7K7-U45T</v>
      </c>
    </row>
    <row r="169" spans="1:7" ht="15.6" x14ac:dyDescent="0.45">
      <c r="A169" s="16" t="s">
        <v>204</v>
      </c>
      <c r="B169" s="16" t="s">
        <v>21</v>
      </c>
      <c r="C169" s="16" t="s">
        <v>22</v>
      </c>
      <c r="D169" s="16" t="s">
        <v>189</v>
      </c>
      <c r="E169" s="17">
        <v>46.840299999999999</v>
      </c>
      <c r="F169" s="17">
        <v>-123.2337</v>
      </c>
      <c r="G169" s="23" t="str">
        <f>MakeLocationsCode(E169,F169)</f>
        <v>E7K8-6SZL</v>
      </c>
    </row>
    <row r="170" spans="1:7" ht="15.6" x14ac:dyDescent="0.45">
      <c r="A170" s="16" t="s">
        <v>205</v>
      </c>
      <c r="B170" s="16" t="s">
        <v>21</v>
      </c>
      <c r="C170" s="16" t="s">
        <v>22</v>
      </c>
      <c r="D170" s="16" t="s">
        <v>189</v>
      </c>
      <c r="E170" s="17">
        <v>46.948900000000002</v>
      </c>
      <c r="F170" s="17">
        <v>-123.2736</v>
      </c>
      <c r="G170" s="23" t="str">
        <f>MakeLocationsCode(E170,F170)</f>
        <v>E7K8-IOID</v>
      </c>
    </row>
    <row r="171" spans="1:7" ht="15.6" x14ac:dyDescent="0.45">
      <c r="A171" s="16" t="s">
        <v>206</v>
      </c>
      <c r="B171" s="16" t="s">
        <v>21</v>
      </c>
      <c r="C171" s="16" t="s">
        <v>22</v>
      </c>
      <c r="D171" s="16" t="s">
        <v>189</v>
      </c>
      <c r="E171" s="17">
        <v>46.977899999999998</v>
      </c>
      <c r="F171" s="17">
        <v>-123.3035</v>
      </c>
      <c r="G171" s="23" t="str">
        <f>MakeLocationsCode(E171,F171)</f>
        <v>E7K8-LLK7</v>
      </c>
    </row>
    <row r="172" spans="1:7" ht="15.6" x14ac:dyDescent="0.45">
      <c r="A172" s="16" t="s">
        <v>207</v>
      </c>
      <c r="B172" s="16" t="s">
        <v>21</v>
      </c>
      <c r="C172" s="16" t="s">
        <v>22</v>
      </c>
      <c r="D172" s="16" t="s">
        <v>189</v>
      </c>
      <c r="E172" s="17">
        <v>47.005499999999998</v>
      </c>
      <c r="F172" s="17">
        <v>-123.41119999999999</v>
      </c>
      <c r="G172" s="23" t="str">
        <f>MakeLocationsCode(E172,F172)</f>
        <v>E7K8-O9IS</v>
      </c>
    </row>
    <row r="173" spans="1:7" ht="15.6" x14ac:dyDescent="0.45">
      <c r="A173" s="16" t="s">
        <v>208</v>
      </c>
      <c r="B173" s="16" t="s">
        <v>21</v>
      </c>
      <c r="C173" s="16" t="s">
        <v>22</v>
      </c>
      <c r="D173" s="16" t="s">
        <v>189</v>
      </c>
      <c r="E173" s="17">
        <v>47.022300000000001</v>
      </c>
      <c r="F173" s="17">
        <v>-123.47369999999999</v>
      </c>
      <c r="G173" s="23" t="str">
        <f>MakeLocationsCode(E173,F173)</f>
        <v>E7K8-Q3A7</v>
      </c>
    </row>
    <row r="174" spans="1:7" ht="15.6" x14ac:dyDescent="0.45">
      <c r="A174" s="16" t="s">
        <v>209</v>
      </c>
      <c r="B174" s="16" t="s">
        <v>21</v>
      </c>
      <c r="C174" s="16" t="s">
        <v>22</v>
      </c>
      <c r="D174" s="16" t="s">
        <v>189</v>
      </c>
      <c r="E174" s="17">
        <v>47.058399999999999</v>
      </c>
      <c r="F174" s="17">
        <v>-123.2723</v>
      </c>
      <c r="G174" s="23" t="str">
        <f>MakeLocationsCode(E174,F174)</f>
        <v>E7K8-UO4I</v>
      </c>
    </row>
    <row r="175" spans="1:7" ht="15.6" x14ac:dyDescent="0.45">
      <c r="A175" s="16" t="s">
        <v>210</v>
      </c>
      <c r="B175" s="16" t="s">
        <v>21</v>
      </c>
      <c r="C175" s="16" t="s">
        <v>22</v>
      </c>
      <c r="D175" s="16" t="s">
        <v>211</v>
      </c>
      <c r="E175" s="17">
        <v>46.8018</v>
      </c>
      <c r="F175" s="17">
        <v>-123.01179999999999</v>
      </c>
      <c r="G175" s="23" t="str">
        <f>MakeLocationsCode(E175,F175)</f>
        <v>E7K9-2IW4</v>
      </c>
    </row>
    <row r="176" spans="1:7" ht="15.6" x14ac:dyDescent="0.45">
      <c r="A176" s="16" t="s">
        <v>212</v>
      </c>
      <c r="B176" s="16" t="s">
        <v>21</v>
      </c>
      <c r="C176" s="16" t="s">
        <v>22</v>
      </c>
      <c r="D176" s="16" t="s">
        <v>211</v>
      </c>
      <c r="E176" s="17">
        <v>46.796799999999998</v>
      </c>
      <c r="F176" s="17">
        <v>-122.86799999999999</v>
      </c>
      <c r="G176" s="23" t="str">
        <f>MakeLocationsCode(E176,F176)</f>
        <v>E7K9-2XEB</v>
      </c>
    </row>
    <row r="177" spans="1:7" ht="15.6" x14ac:dyDescent="0.45">
      <c r="A177" s="16" t="s">
        <v>213</v>
      </c>
      <c r="B177" s="16" t="s">
        <v>21</v>
      </c>
      <c r="C177" s="16" t="s">
        <v>22</v>
      </c>
      <c r="D177" s="16" t="s">
        <v>211</v>
      </c>
      <c r="E177" s="17">
        <v>46.819800000000001</v>
      </c>
      <c r="F177" s="17">
        <v>-123.06359999999999</v>
      </c>
      <c r="G177" s="23" t="str">
        <f>MakeLocationsCode(E177,F177)</f>
        <v>E7K9-4CTL</v>
      </c>
    </row>
    <row r="178" spans="1:7" ht="15.6" x14ac:dyDescent="0.45">
      <c r="A178" s="16" t="s">
        <v>214</v>
      </c>
      <c r="B178" s="16" t="s">
        <v>21</v>
      </c>
      <c r="C178" s="16" t="s">
        <v>22</v>
      </c>
      <c r="D178" s="16" t="s">
        <v>211</v>
      </c>
      <c r="E178" s="17">
        <v>46.8538</v>
      </c>
      <c r="F178" s="17">
        <v>-122.86060000000001</v>
      </c>
      <c r="G178" s="23" t="str">
        <f>MakeLocationsCode(E178,F178)</f>
        <v>E7K9-8YG4</v>
      </c>
    </row>
    <row r="179" spans="1:7" ht="15.6" x14ac:dyDescent="0.45">
      <c r="A179" s="16" t="s">
        <v>215</v>
      </c>
      <c r="B179" s="16" t="s">
        <v>21</v>
      </c>
      <c r="C179" s="16" t="s">
        <v>22</v>
      </c>
      <c r="D179" s="16" t="s">
        <v>211</v>
      </c>
      <c r="E179" s="17">
        <v>46.989100000000001</v>
      </c>
      <c r="F179" s="17">
        <v>-122.9175</v>
      </c>
      <c r="G179" s="23" t="str">
        <f>MakeLocationsCode(E179,F179)</f>
        <v>E7K9-MSR3</v>
      </c>
    </row>
    <row r="180" spans="1:7" ht="15.6" x14ac:dyDescent="0.45">
      <c r="A180" s="16" t="s">
        <v>216</v>
      </c>
      <c r="B180" s="16" t="s">
        <v>21</v>
      </c>
      <c r="C180" s="16" t="s">
        <v>22</v>
      </c>
      <c r="D180" s="16" t="s">
        <v>211</v>
      </c>
      <c r="E180" s="17">
        <v>47.041699999999999</v>
      </c>
      <c r="F180" s="17">
        <v>-122.8959</v>
      </c>
      <c r="G180" s="23" t="str">
        <f>MakeLocationsCode(E180,F180)</f>
        <v>E7K9-SUCD</v>
      </c>
    </row>
    <row r="181" spans="1:7" ht="15.6" x14ac:dyDescent="0.45">
      <c r="A181" s="16" t="s">
        <v>217</v>
      </c>
      <c r="B181" s="16" t="s">
        <v>21</v>
      </c>
      <c r="C181" s="16" t="s">
        <v>22</v>
      </c>
      <c r="D181" s="16" t="s">
        <v>211</v>
      </c>
      <c r="E181" s="17">
        <v>46.8917</v>
      </c>
      <c r="F181" s="17">
        <v>-122.6866</v>
      </c>
      <c r="G181" s="23" t="str">
        <f>MakeLocationsCode(E181,F181)</f>
        <v>E7KA-CIGI</v>
      </c>
    </row>
    <row r="182" spans="1:7" ht="15.6" x14ac:dyDescent="0.45">
      <c r="A182" s="16" t="s">
        <v>218</v>
      </c>
      <c r="B182" s="16" t="s">
        <v>21</v>
      </c>
      <c r="C182" s="16" t="s">
        <v>22</v>
      </c>
      <c r="D182" s="16" t="s">
        <v>211</v>
      </c>
      <c r="E182" s="17">
        <v>46.939799999999998</v>
      </c>
      <c r="F182" s="17">
        <v>-122.6262</v>
      </c>
      <c r="G182" s="23" t="str">
        <f>MakeLocationsCode(E182,F182)</f>
        <v>E7KA-HOJW</v>
      </c>
    </row>
    <row r="183" spans="1:7" ht="15.6" x14ac:dyDescent="0.45">
      <c r="A183" s="16" t="s">
        <v>219</v>
      </c>
      <c r="B183" s="16" t="s">
        <v>21</v>
      </c>
      <c r="C183" s="16" t="s">
        <v>22</v>
      </c>
      <c r="D183" s="16" t="s">
        <v>151</v>
      </c>
      <c r="E183" s="17">
        <v>46.936500000000002</v>
      </c>
      <c r="F183" s="17">
        <v>-122.5501</v>
      </c>
      <c r="G183" s="23" t="str">
        <f>MakeLocationsCode(E183,F183)</f>
        <v>E7KA-HW7Y</v>
      </c>
    </row>
    <row r="184" spans="1:7" ht="15.6" x14ac:dyDescent="0.45">
      <c r="A184" s="16" t="s">
        <v>220</v>
      </c>
      <c r="B184" s="16" t="s">
        <v>21</v>
      </c>
      <c r="C184" s="16" t="s">
        <v>22</v>
      </c>
      <c r="D184" s="16" t="s">
        <v>211</v>
      </c>
      <c r="E184" s="17">
        <v>46.964799999999997</v>
      </c>
      <c r="F184" s="17">
        <v>-122.6027</v>
      </c>
      <c r="G184" s="23" t="str">
        <f>MakeLocationsCode(E184,F184)</f>
        <v>E7KA-KR7E</v>
      </c>
    </row>
    <row r="185" spans="1:7" ht="15.6" x14ac:dyDescent="0.45">
      <c r="A185" s="16" t="s">
        <v>221</v>
      </c>
      <c r="B185" s="16" t="s">
        <v>21</v>
      </c>
      <c r="C185" s="16" t="s">
        <v>22</v>
      </c>
      <c r="D185" s="16" t="s">
        <v>151</v>
      </c>
      <c r="E185" s="17">
        <v>46.997</v>
      </c>
      <c r="F185" s="17">
        <v>-122.5423</v>
      </c>
      <c r="G185" s="23" t="str">
        <f>MakeLocationsCode(E185,F185)</f>
        <v>E7KA-NXLS</v>
      </c>
    </row>
    <row r="186" spans="1:7" ht="15.6" x14ac:dyDescent="0.45">
      <c r="A186" s="16" t="s">
        <v>222</v>
      </c>
      <c r="B186" s="16" t="s">
        <v>21</v>
      </c>
      <c r="C186" s="16" t="s">
        <v>22</v>
      </c>
      <c r="D186" s="16" t="s">
        <v>211</v>
      </c>
      <c r="E186" s="17">
        <v>47.016399999999997</v>
      </c>
      <c r="F186" s="17">
        <v>-122.6725</v>
      </c>
      <c r="G186" s="23" t="str">
        <f>MakeLocationsCode(E186,F186)</f>
        <v>E7KA-PJNZ</v>
      </c>
    </row>
    <row r="187" spans="1:7" ht="15.6" x14ac:dyDescent="0.45">
      <c r="A187" s="16" t="s">
        <v>223</v>
      </c>
      <c r="B187" s="16" t="s">
        <v>21</v>
      </c>
      <c r="C187" s="16" t="s">
        <v>22</v>
      </c>
      <c r="D187" s="16" t="s">
        <v>211</v>
      </c>
      <c r="E187" s="17">
        <v>47.046199999999999</v>
      </c>
      <c r="F187" s="17">
        <v>-122.7933</v>
      </c>
      <c r="G187" s="23" t="str">
        <f>MakeLocationsCode(E187,F187)</f>
        <v>E7KA-S7S8</v>
      </c>
    </row>
    <row r="188" spans="1:7" ht="15.6" x14ac:dyDescent="0.45">
      <c r="A188" s="16" t="s">
        <v>224</v>
      </c>
      <c r="B188" s="16" t="s">
        <v>21</v>
      </c>
      <c r="C188" s="16" t="s">
        <v>22</v>
      </c>
      <c r="D188" s="16" t="s">
        <v>211</v>
      </c>
      <c r="E188" s="17">
        <v>47.051200000000001</v>
      </c>
      <c r="F188" s="17">
        <v>-122.7809</v>
      </c>
      <c r="G188" s="23" t="str">
        <f>MakeLocationsCode(E188,F188)</f>
        <v>E7KA-T8CJ</v>
      </c>
    </row>
    <row r="189" spans="1:7" ht="15.6" x14ac:dyDescent="0.45">
      <c r="A189" s="16" t="s">
        <v>225</v>
      </c>
      <c r="B189" s="16" t="s">
        <v>21</v>
      </c>
      <c r="C189" s="16" t="s">
        <v>22</v>
      </c>
      <c r="D189" s="16" t="s">
        <v>151</v>
      </c>
      <c r="E189" s="17">
        <v>47.095500000000001</v>
      </c>
      <c r="F189" s="17">
        <v>-122.56740000000001</v>
      </c>
      <c r="G189" s="23" t="str">
        <f>MakeLocationsCode(E189,F189)</f>
        <v>E7KA-YV25</v>
      </c>
    </row>
    <row r="190" spans="1:7" ht="15.6" x14ac:dyDescent="0.45">
      <c r="A190" s="16" t="s">
        <v>226</v>
      </c>
      <c r="B190" s="16" t="s">
        <v>21</v>
      </c>
      <c r="C190" s="16" t="s">
        <v>22</v>
      </c>
      <c r="D190" s="16" t="s">
        <v>151</v>
      </c>
      <c r="E190" s="17">
        <v>47.107900000000001</v>
      </c>
      <c r="F190" s="17">
        <v>-122.6495</v>
      </c>
      <c r="G190" s="23" t="str">
        <f>MakeLocationsCode(E190,F190)</f>
        <v>E7KA-ZMCG</v>
      </c>
    </row>
    <row r="191" spans="1:7" ht="15.6" x14ac:dyDescent="0.45">
      <c r="A191" s="16" t="s">
        <v>227</v>
      </c>
      <c r="B191" s="16" t="s">
        <v>21</v>
      </c>
      <c r="C191" s="16" t="s">
        <v>22</v>
      </c>
      <c r="D191" s="16" t="s">
        <v>151</v>
      </c>
      <c r="E191" s="17">
        <v>46.819899999999997</v>
      </c>
      <c r="F191" s="17">
        <v>-122.2962</v>
      </c>
      <c r="G191" s="23" t="str">
        <f>MakeLocationsCode(E191,F191)</f>
        <v>E7KB-4PUU</v>
      </c>
    </row>
    <row r="192" spans="1:7" ht="15.6" x14ac:dyDescent="0.45">
      <c r="A192" s="16" t="s">
        <v>228</v>
      </c>
      <c r="B192" s="16" t="s">
        <v>21</v>
      </c>
      <c r="C192" s="16" t="s">
        <v>22</v>
      </c>
      <c r="D192" s="16" t="s">
        <v>151</v>
      </c>
      <c r="E192" s="17">
        <v>46.868200000000002</v>
      </c>
      <c r="F192" s="17">
        <v>-122.2697</v>
      </c>
      <c r="G192" s="23" t="str">
        <f>MakeLocationsCode(E192,F192)</f>
        <v>E7KB-9SYN</v>
      </c>
    </row>
    <row r="193" spans="1:7" ht="15.6" x14ac:dyDescent="0.45">
      <c r="A193" s="16" t="s">
        <v>229</v>
      </c>
      <c r="B193" s="16" t="s">
        <v>21</v>
      </c>
      <c r="C193" s="16" t="s">
        <v>22</v>
      </c>
      <c r="D193" s="16" t="s">
        <v>151</v>
      </c>
      <c r="E193" s="17">
        <v>46.930999999999997</v>
      </c>
      <c r="F193" s="17">
        <v>-122.2841</v>
      </c>
      <c r="G193" s="23" t="str">
        <f>MakeLocationsCode(E193,F193)</f>
        <v>E7KB-GRM5</v>
      </c>
    </row>
    <row r="194" spans="1:7" ht="15.6" x14ac:dyDescent="0.45">
      <c r="A194" s="16" t="s">
        <v>230</v>
      </c>
      <c r="B194" s="16" t="s">
        <v>21</v>
      </c>
      <c r="C194" s="16" t="s">
        <v>22</v>
      </c>
      <c r="D194" s="16" t="s">
        <v>151</v>
      </c>
      <c r="E194" s="17">
        <v>46.972700000000003</v>
      </c>
      <c r="F194" s="17">
        <v>-122.2273</v>
      </c>
      <c r="G194" s="23" t="str">
        <f>MakeLocationsCode(E194,F194)</f>
        <v>E7KB-LX26</v>
      </c>
    </row>
    <row r="195" spans="1:7" ht="15.6" x14ac:dyDescent="0.45">
      <c r="A195" s="16" t="s">
        <v>231</v>
      </c>
      <c r="B195" s="16" t="s">
        <v>21</v>
      </c>
      <c r="C195" s="16" t="s">
        <v>22</v>
      </c>
      <c r="D195" s="16" t="s">
        <v>151</v>
      </c>
      <c r="E195" s="17">
        <v>46.999400000000001</v>
      </c>
      <c r="F195" s="17">
        <v>-122.392</v>
      </c>
      <c r="G195" s="23" t="str">
        <f>MakeLocationsCode(E195,F195)</f>
        <v>E7KB-NFUP</v>
      </c>
    </row>
    <row r="196" spans="1:7" ht="15.6" x14ac:dyDescent="0.45">
      <c r="A196" s="16" t="s">
        <v>232</v>
      </c>
      <c r="B196" s="16" t="s">
        <v>21</v>
      </c>
      <c r="C196" s="16" t="s">
        <v>22</v>
      </c>
      <c r="D196" s="16" t="s">
        <v>151</v>
      </c>
      <c r="E196" s="17">
        <v>47.032200000000003</v>
      </c>
      <c r="F196" s="17">
        <v>-122.28270000000001</v>
      </c>
      <c r="G196" s="23" t="str">
        <f>MakeLocationsCode(E196,F196)</f>
        <v>E7KB-RRCA</v>
      </c>
    </row>
    <row r="197" spans="1:7" ht="15.6" x14ac:dyDescent="0.45">
      <c r="A197" s="16" t="s">
        <v>233</v>
      </c>
      <c r="B197" s="16" t="s">
        <v>21</v>
      </c>
      <c r="C197" s="16" t="s">
        <v>22</v>
      </c>
      <c r="D197" s="16" t="s">
        <v>151</v>
      </c>
      <c r="E197" s="17">
        <v>47.042499999999997</v>
      </c>
      <c r="F197" s="17">
        <v>-122.3663</v>
      </c>
      <c r="G197" s="23" t="str">
        <f>MakeLocationsCode(E197,F197)</f>
        <v>E7KB-SIFF</v>
      </c>
    </row>
    <row r="198" spans="1:7" ht="15.6" x14ac:dyDescent="0.45">
      <c r="A198" s="16" t="s">
        <v>234</v>
      </c>
      <c r="B198" s="16" t="s">
        <v>21</v>
      </c>
      <c r="C198" s="16" t="s">
        <v>22</v>
      </c>
      <c r="D198" s="16" t="s">
        <v>151</v>
      </c>
      <c r="E198" s="17">
        <v>47.0916</v>
      </c>
      <c r="F198" s="17">
        <v>-122.3603</v>
      </c>
      <c r="G198" s="23" t="str">
        <f>MakeLocationsCode(E198,F198)</f>
        <v>E7KB-XJM3</v>
      </c>
    </row>
    <row r="199" spans="1:7" ht="15.6" x14ac:dyDescent="0.45">
      <c r="A199" s="16" t="s">
        <v>235</v>
      </c>
      <c r="B199" s="16" t="s">
        <v>21</v>
      </c>
      <c r="C199" s="16" t="s">
        <v>22</v>
      </c>
      <c r="D199" s="16" t="s">
        <v>151</v>
      </c>
      <c r="E199" s="17">
        <v>47.097900000000003</v>
      </c>
      <c r="F199" s="17">
        <v>-122.4233</v>
      </c>
      <c r="G199" s="23" t="str">
        <f>MakeLocationsCode(E199,F199)</f>
        <v>E7KB-YCAE</v>
      </c>
    </row>
    <row r="200" spans="1:7" ht="15.6" x14ac:dyDescent="0.45">
      <c r="A200" s="16" t="s">
        <v>236</v>
      </c>
      <c r="B200" s="16" t="s">
        <v>21</v>
      </c>
      <c r="C200" s="16" t="s">
        <v>22</v>
      </c>
      <c r="D200" s="16" t="s">
        <v>151</v>
      </c>
      <c r="E200" s="17">
        <v>47.096699999999998</v>
      </c>
      <c r="F200" s="17">
        <v>-122.21120000000001</v>
      </c>
      <c r="G200" s="23" t="str">
        <f>MakeLocationsCode(E200,F200)</f>
        <v>E7KB-YY6U</v>
      </c>
    </row>
    <row r="201" spans="1:7" ht="15.6" x14ac:dyDescent="0.45">
      <c r="A201" s="16" t="s">
        <v>237</v>
      </c>
      <c r="B201" s="16" t="s">
        <v>21</v>
      </c>
      <c r="C201" s="16" t="s">
        <v>22</v>
      </c>
      <c r="D201" s="16" t="s">
        <v>151</v>
      </c>
      <c r="E201" s="17">
        <v>47.084299999999999</v>
      </c>
      <c r="F201" s="17">
        <v>-122.12260000000001</v>
      </c>
      <c r="G201" s="23" t="str">
        <f>MakeLocationsCode(E201,F201)</f>
        <v>E7KC-WAT9</v>
      </c>
    </row>
    <row r="202" spans="1:7" ht="15.6" x14ac:dyDescent="0.45">
      <c r="A202" s="16" t="s">
        <v>238</v>
      </c>
      <c r="B202" s="16" t="s">
        <v>21</v>
      </c>
      <c r="C202" s="16" t="s">
        <v>22</v>
      </c>
      <c r="D202" s="16" t="s">
        <v>151</v>
      </c>
      <c r="E202" s="17">
        <v>47.080599999999997</v>
      </c>
      <c r="F202" s="17">
        <v>-122.0536</v>
      </c>
      <c r="G202" s="23" t="str">
        <f>MakeLocationsCode(E202,F202)</f>
        <v>E7KC-WHGJ</v>
      </c>
    </row>
    <row r="203" spans="1:7" ht="15.6" x14ac:dyDescent="0.45">
      <c r="A203" s="16" t="s">
        <v>239</v>
      </c>
      <c r="B203" s="16" t="s">
        <v>21</v>
      </c>
      <c r="C203" s="16" t="s">
        <v>22</v>
      </c>
      <c r="D203" s="16" t="s">
        <v>151</v>
      </c>
      <c r="E203" s="17">
        <v>47.103299999999997</v>
      </c>
      <c r="F203" s="17">
        <v>-122.04940000000001</v>
      </c>
      <c r="G203" s="23" t="str">
        <f>MakeLocationsCode(E203,F203)</f>
        <v>E7KC-YHUY</v>
      </c>
    </row>
    <row r="204" spans="1:7" ht="15.6" x14ac:dyDescent="0.45">
      <c r="A204" s="16" t="s">
        <v>240</v>
      </c>
      <c r="B204" s="16" t="s">
        <v>21</v>
      </c>
      <c r="C204" s="16" t="s">
        <v>22</v>
      </c>
      <c r="D204" s="16" t="s">
        <v>105</v>
      </c>
      <c r="E204" s="17">
        <v>46.834899999999998</v>
      </c>
      <c r="F204" s="17">
        <v>-120.9438</v>
      </c>
      <c r="G204" s="23" t="str">
        <f>MakeLocationsCode(E204,F204)</f>
        <v>E7KF-6XG2</v>
      </c>
    </row>
    <row r="205" spans="1:7" ht="15.6" x14ac:dyDescent="0.45">
      <c r="A205" s="16" t="s">
        <v>241</v>
      </c>
      <c r="B205" s="16" t="s">
        <v>21</v>
      </c>
      <c r="C205" s="16" t="s">
        <v>22</v>
      </c>
      <c r="D205" s="16" t="s">
        <v>105</v>
      </c>
      <c r="E205" s="17">
        <v>46.922199999999997</v>
      </c>
      <c r="F205" s="17">
        <v>-121.0431</v>
      </c>
      <c r="G205" s="23" t="str">
        <f>MakeLocationsCode(E205,F205)</f>
        <v>E7KF-FMOJ</v>
      </c>
    </row>
    <row r="206" spans="1:7" ht="15.6" x14ac:dyDescent="0.45">
      <c r="A206" s="16" t="s">
        <v>242</v>
      </c>
      <c r="B206" s="16" t="s">
        <v>21</v>
      </c>
      <c r="C206" s="16" t="s">
        <v>22</v>
      </c>
      <c r="D206" s="16" t="s">
        <v>243</v>
      </c>
      <c r="E206" s="17">
        <v>47.065600000000003</v>
      </c>
      <c r="F206" s="17">
        <v>-120.6709</v>
      </c>
      <c r="G206" s="23" t="str">
        <f>MakeLocationsCode(E206,F206)</f>
        <v>E7KG-URUX</v>
      </c>
    </row>
    <row r="207" spans="1:7" ht="15.6" x14ac:dyDescent="0.45">
      <c r="A207" s="16" t="s">
        <v>243</v>
      </c>
      <c r="B207" s="16" t="s">
        <v>21</v>
      </c>
      <c r="C207" s="16" t="s">
        <v>22</v>
      </c>
      <c r="D207" s="16" t="s">
        <v>243</v>
      </c>
      <c r="E207" s="17">
        <v>46.983699999999999</v>
      </c>
      <c r="F207" s="17">
        <v>-120.41889999999999</v>
      </c>
      <c r="G207" s="23" t="str">
        <f>MakeLocationsCode(E207,F207)</f>
        <v>E7KH-MK7M</v>
      </c>
    </row>
    <row r="208" spans="1:7" ht="15.6" x14ac:dyDescent="0.45">
      <c r="A208" s="16" t="s">
        <v>244</v>
      </c>
      <c r="B208" s="16" t="s">
        <v>21</v>
      </c>
      <c r="C208" s="16" t="s">
        <v>22</v>
      </c>
      <c r="D208" s="16" t="s">
        <v>243</v>
      </c>
      <c r="E208" s="17">
        <v>46.999899999999997</v>
      </c>
      <c r="F208" s="17">
        <v>-120.5475</v>
      </c>
      <c r="G208" s="23" t="str">
        <f>MakeLocationsCode(E208,F208)</f>
        <v>E7KH-N6WZ</v>
      </c>
    </row>
    <row r="209" spans="1:7" ht="15.6" x14ac:dyDescent="0.45">
      <c r="A209" s="16" t="s">
        <v>245</v>
      </c>
      <c r="B209" s="16" t="s">
        <v>21</v>
      </c>
      <c r="C209" s="16" t="s">
        <v>22</v>
      </c>
      <c r="D209" s="16" t="s">
        <v>243</v>
      </c>
      <c r="E209" s="17">
        <v>46.945300000000003</v>
      </c>
      <c r="F209" s="17">
        <v>-119.99209999999999</v>
      </c>
      <c r="G209" s="23" t="str">
        <f>MakeLocationsCode(E209,F209)</f>
        <v>E7KI-IV5S</v>
      </c>
    </row>
    <row r="210" spans="1:7" ht="15.6" x14ac:dyDescent="0.45">
      <c r="A210" s="16" t="s">
        <v>246</v>
      </c>
      <c r="B210" s="16" t="s">
        <v>21</v>
      </c>
      <c r="C210" s="16" t="s">
        <v>22</v>
      </c>
      <c r="D210" s="16" t="s">
        <v>170</v>
      </c>
      <c r="E210" s="17">
        <v>47.073999999999998</v>
      </c>
      <c r="F210" s="17">
        <v>-120.0284</v>
      </c>
      <c r="G210" s="23" t="str">
        <f>MakeLocationsCode(E210,F210)</f>
        <v>E7KI-VRQY</v>
      </c>
    </row>
    <row r="211" spans="1:7" ht="15.6" x14ac:dyDescent="0.45">
      <c r="A211" s="16" t="s">
        <v>247</v>
      </c>
      <c r="B211" s="16" t="s">
        <v>21</v>
      </c>
      <c r="C211" s="16" t="s">
        <v>22</v>
      </c>
      <c r="D211" s="16" t="s">
        <v>170</v>
      </c>
      <c r="E211" s="17">
        <v>46.821399999999997</v>
      </c>
      <c r="F211" s="17">
        <v>-119.92319999999999</v>
      </c>
      <c r="G211" s="23" t="str">
        <f>MakeLocationsCode(E211,F211)</f>
        <v>E7KJ-45Z4</v>
      </c>
    </row>
    <row r="212" spans="1:7" ht="15.6" x14ac:dyDescent="0.45">
      <c r="A212" s="16" t="s">
        <v>248</v>
      </c>
      <c r="B212" s="16" t="s">
        <v>21</v>
      </c>
      <c r="C212" s="16" t="s">
        <v>22</v>
      </c>
      <c r="D212" s="16" t="s">
        <v>170</v>
      </c>
      <c r="E212" s="17">
        <v>46.834800000000001</v>
      </c>
      <c r="F212" s="17">
        <v>-119.9301</v>
      </c>
      <c r="G212" s="23" t="str">
        <f>MakeLocationsCode(E212,F212)</f>
        <v>E7KJ-64FE</v>
      </c>
    </row>
    <row r="213" spans="1:7" ht="15.6" x14ac:dyDescent="0.45">
      <c r="A213" s="16" t="s">
        <v>249</v>
      </c>
      <c r="B213" s="16" t="s">
        <v>21</v>
      </c>
      <c r="C213" s="16" t="s">
        <v>22</v>
      </c>
      <c r="D213" s="16" t="s">
        <v>170</v>
      </c>
      <c r="E213" s="17">
        <v>47.084600000000002</v>
      </c>
      <c r="F213" s="17">
        <v>-119.86</v>
      </c>
      <c r="G213" s="23" t="str">
        <f>MakeLocationsCode(E213,F213)</f>
        <v>E7KJ-WBVS</v>
      </c>
    </row>
    <row r="214" spans="1:7" ht="15.6" x14ac:dyDescent="0.45">
      <c r="A214" s="16" t="s">
        <v>250</v>
      </c>
      <c r="B214" s="16" t="s">
        <v>21</v>
      </c>
      <c r="C214" s="16" t="s">
        <v>22</v>
      </c>
      <c r="D214" s="16" t="s">
        <v>170</v>
      </c>
      <c r="E214" s="17">
        <v>46.901800000000001</v>
      </c>
      <c r="F214" s="17">
        <v>-119.62050000000001</v>
      </c>
      <c r="G214" s="23" t="str">
        <f>MakeLocationsCode(E214,F214)</f>
        <v>E7KK-D3I6</v>
      </c>
    </row>
    <row r="215" spans="1:7" ht="15.6" x14ac:dyDescent="0.45">
      <c r="A215" s="16" t="s">
        <v>251</v>
      </c>
      <c r="B215" s="16" t="s">
        <v>21</v>
      </c>
      <c r="C215" s="16" t="s">
        <v>22</v>
      </c>
      <c r="D215" s="16" t="s">
        <v>170</v>
      </c>
      <c r="E215" s="17">
        <v>46.963700000000003</v>
      </c>
      <c r="F215" s="17">
        <v>-119.35080000000001</v>
      </c>
      <c r="G215" s="23" t="str">
        <f>MakeLocationsCode(E215,F215)</f>
        <v>E7KK-KV3P</v>
      </c>
    </row>
    <row r="216" spans="1:7" ht="15.6" x14ac:dyDescent="0.45">
      <c r="A216" s="16" t="s">
        <v>252</v>
      </c>
      <c r="B216" s="16" t="s">
        <v>21</v>
      </c>
      <c r="C216" s="16" t="s">
        <v>22</v>
      </c>
      <c r="D216" s="16" t="s">
        <v>176</v>
      </c>
      <c r="E216" s="17">
        <v>46.822099999999999</v>
      </c>
      <c r="F216" s="17">
        <v>-119.1653</v>
      </c>
      <c r="G216" s="23" t="str">
        <f>MakeLocationsCode(E216,F216)</f>
        <v>E7KL-5H4D</v>
      </c>
    </row>
    <row r="217" spans="1:7" ht="15.6" x14ac:dyDescent="0.45">
      <c r="A217" s="16" t="s">
        <v>253</v>
      </c>
      <c r="B217" s="16" t="s">
        <v>21</v>
      </c>
      <c r="C217" s="16" t="s">
        <v>22</v>
      </c>
      <c r="D217" s="16" t="s">
        <v>170</v>
      </c>
      <c r="E217" s="17">
        <v>46.967199999999998</v>
      </c>
      <c r="F217" s="17">
        <v>-119.0523</v>
      </c>
      <c r="G217" s="23" t="str">
        <f>MakeLocationsCode(E217,F217)</f>
        <v>E7KL-KTGC</v>
      </c>
    </row>
    <row r="218" spans="1:7" ht="15.6" x14ac:dyDescent="0.45">
      <c r="A218" s="16" t="s">
        <v>254</v>
      </c>
      <c r="B218" s="16" t="s">
        <v>21</v>
      </c>
      <c r="C218" s="16" t="s">
        <v>22</v>
      </c>
      <c r="D218" s="16" t="s">
        <v>176</v>
      </c>
      <c r="E218" s="17">
        <v>46.970500000000001</v>
      </c>
      <c r="F218" s="17">
        <v>-118.6165</v>
      </c>
      <c r="G218" s="23" t="str">
        <f>MakeLocationsCode(E218,F218)</f>
        <v>E7KN-K7SH</v>
      </c>
    </row>
    <row r="219" spans="1:7" ht="15.6" x14ac:dyDescent="0.45">
      <c r="A219" s="16" t="s">
        <v>255</v>
      </c>
      <c r="B219" s="16" t="s">
        <v>21</v>
      </c>
      <c r="C219" s="16" t="s">
        <v>22</v>
      </c>
      <c r="D219" s="16" t="s">
        <v>184</v>
      </c>
      <c r="E219" s="17">
        <v>46.801299999999998</v>
      </c>
      <c r="F219" s="17">
        <v>-117.9025</v>
      </c>
      <c r="G219" s="23" t="str">
        <f>MakeLocationsCode(E219,F219)</f>
        <v>E7KP-2FV3</v>
      </c>
    </row>
    <row r="220" spans="1:7" ht="15.6" x14ac:dyDescent="0.45">
      <c r="A220" s="16" t="s">
        <v>256</v>
      </c>
      <c r="B220" s="16" t="s">
        <v>21</v>
      </c>
      <c r="C220" s="16" t="s">
        <v>22</v>
      </c>
      <c r="D220" s="16" t="s">
        <v>184</v>
      </c>
      <c r="E220" s="17">
        <v>46.928199999999997</v>
      </c>
      <c r="F220" s="17">
        <v>-117.6867</v>
      </c>
      <c r="G220" s="23" t="str">
        <f>MakeLocationsCode(E220,F220)</f>
        <v>E7KQ-G3CW</v>
      </c>
    </row>
    <row r="221" spans="1:7" ht="15.6" x14ac:dyDescent="0.45">
      <c r="A221" s="16" t="s">
        <v>257</v>
      </c>
      <c r="B221" s="16" t="s">
        <v>21</v>
      </c>
      <c r="C221" s="16" t="s">
        <v>22</v>
      </c>
      <c r="D221" s="16" t="s">
        <v>184</v>
      </c>
      <c r="E221" s="17">
        <v>47.091500000000003</v>
      </c>
      <c r="F221" s="17">
        <v>-117.5887</v>
      </c>
      <c r="G221" s="23" t="str">
        <f>MakeLocationsCode(E221,F221)</f>
        <v>E7KQ-XELB</v>
      </c>
    </row>
    <row r="222" spans="1:7" ht="15.6" x14ac:dyDescent="0.45">
      <c r="A222" s="16" t="s">
        <v>258</v>
      </c>
      <c r="B222" s="16" t="s">
        <v>21</v>
      </c>
      <c r="C222" s="16" t="s">
        <v>22</v>
      </c>
      <c r="D222" s="16" t="s">
        <v>184</v>
      </c>
      <c r="E222" s="17">
        <v>46.902900000000002</v>
      </c>
      <c r="F222" s="17">
        <v>-117.34</v>
      </c>
      <c r="G222" s="23" t="str">
        <f>MakeLocationsCode(E222,F222)</f>
        <v>E7KR-D6MM</v>
      </c>
    </row>
    <row r="223" spans="1:7" ht="15.6" x14ac:dyDescent="0.45">
      <c r="A223" s="16" t="s">
        <v>259</v>
      </c>
      <c r="B223" s="16" t="s">
        <v>21</v>
      </c>
      <c r="C223" s="16" t="s">
        <v>22</v>
      </c>
      <c r="D223" s="16" t="s">
        <v>184</v>
      </c>
      <c r="E223" s="17">
        <v>46.910400000000003</v>
      </c>
      <c r="F223" s="17">
        <v>-117.07510000000001</v>
      </c>
      <c r="G223" s="23" t="str">
        <f>MakeLocationsCode(E223,F223)</f>
        <v>E7KR-EYFO</v>
      </c>
    </row>
    <row r="224" spans="1:7" ht="15.6" x14ac:dyDescent="0.45">
      <c r="A224" s="16" t="s">
        <v>260</v>
      </c>
      <c r="B224" s="16" t="s">
        <v>21</v>
      </c>
      <c r="C224" s="16" t="s">
        <v>22</v>
      </c>
      <c r="D224" s="16" t="s">
        <v>184</v>
      </c>
      <c r="E224" s="17">
        <v>47.0075</v>
      </c>
      <c r="F224" s="17">
        <v>-117.3502</v>
      </c>
      <c r="G224" s="23" t="str">
        <f>MakeLocationsCode(E224,F224)</f>
        <v>E7KR-O5PJ</v>
      </c>
    </row>
    <row r="225" spans="1:7" ht="15.6" x14ac:dyDescent="0.45">
      <c r="A225" s="16" t="s">
        <v>181</v>
      </c>
      <c r="B225" s="16" t="s">
        <v>21</v>
      </c>
      <c r="C225" s="16" t="s">
        <v>22</v>
      </c>
      <c r="D225" s="16" t="s">
        <v>184</v>
      </c>
      <c r="E225" s="17">
        <v>47.010300000000001</v>
      </c>
      <c r="F225" s="17">
        <v>-117.1395</v>
      </c>
      <c r="G225" s="23" t="str">
        <f>MakeLocationsCode(E225,F225)</f>
        <v>E7KR-ORZU</v>
      </c>
    </row>
    <row r="226" spans="1:7" ht="15.6" x14ac:dyDescent="0.45">
      <c r="A226" s="16" t="s">
        <v>261</v>
      </c>
      <c r="B226" s="16" t="s">
        <v>21</v>
      </c>
      <c r="C226" s="16" t="s">
        <v>22</v>
      </c>
      <c r="D226" s="16" t="s">
        <v>184</v>
      </c>
      <c r="E226" s="17">
        <v>47.088700000000003</v>
      </c>
      <c r="F226" s="17">
        <v>-117.04640000000001</v>
      </c>
      <c r="G226" s="23" t="str">
        <f>MakeLocationsCode(E226,F226)</f>
        <v>E7KS-X3BP</v>
      </c>
    </row>
    <row r="227" spans="1:7" ht="15.6" x14ac:dyDescent="0.45">
      <c r="A227" s="16" t="s">
        <v>262</v>
      </c>
      <c r="B227" s="16" t="s">
        <v>21</v>
      </c>
      <c r="C227" s="16" t="s">
        <v>22</v>
      </c>
      <c r="D227" s="16" t="s">
        <v>189</v>
      </c>
      <c r="E227" s="17">
        <v>47.1205</v>
      </c>
      <c r="F227" s="17">
        <v>-124.1721</v>
      </c>
      <c r="G227" s="23" t="str">
        <f>MakeLocationsCode(E227,F227)</f>
        <v>E7L5-2VO8</v>
      </c>
    </row>
    <row r="228" spans="1:7" ht="15.6" x14ac:dyDescent="0.45">
      <c r="A228" s="16" t="s">
        <v>263</v>
      </c>
      <c r="B228" s="16" t="s">
        <v>21</v>
      </c>
      <c r="C228" s="16" t="s">
        <v>22</v>
      </c>
      <c r="D228" s="16" t="s">
        <v>189</v>
      </c>
      <c r="E228" s="17">
        <v>47.2151</v>
      </c>
      <c r="F228" s="17">
        <v>-124.19670000000001</v>
      </c>
      <c r="G228" s="23" t="str">
        <f>MakeLocationsCode(E228,F228)</f>
        <v>E7L5-CSOM</v>
      </c>
    </row>
    <row r="229" spans="1:7" ht="15.6" x14ac:dyDescent="0.45">
      <c r="A229" s="16" t="s">
        <v>264</v>
      </c>
      <c r="B229" s="16" t="s">
        <v>21</v>
      </c>
      <c r="C229" s="16" t="s">
        <v>22</v>
      </c>
      <c r="D229" s="16" t="s">
        <v>189</v>
      </c>
      <c r="E229" s="17">
        <v>47.2348</v>
      </c>
      <c r="F229" s="17">
        <v>-124.2024</v>
      </c>
      <c r="G229" s="23" t="str">
        <f>MakeLocationsCode(E229,F229)</f>
        <v>E7L5-ERRZ</v>
      </c>
    </row>
    <row r="230" spans="1:7" ht="15.6" x14ac:dyDescent="0.45">
      <c r="A230" s="16" t="s">
        <v>265</v>
      </c>
      <c r="B230" s="16" t="s">
        <v>21</v>
      </c>
      <c r="C230" s="16" t="s">
        <v>22</v>
      </c>
      <c r="D230" s="16" t="s">
        <v>189</v>
      </c>
      <c r="E230" s="17">
        <v>47.2502</v>
      </c>
      <c r="F230" s="17">
        <v>-124.1902</v>
      </c>
      <c r="G230" s="23" t="str">
        <f>MakeLocationsCode(E230,F230)</f>
        <v>E7L5-GTFB</v>
      </c>
    </row>
    <row r="231" spans="1:7" ht="15.6" x14ac:dyDescent="0.45">
      <c r="A231" s="16" t="s">
        <v>266</v>
      </c>
      <c r="B231" s="16" t="s">
        <v>21</v>
      </c>
      <c r="C231" s="16" t="s">
        <v>22</v>
      </c>
      <c r="D231" s="16" t="s">
        <v>189</v>
      </c>
      <c r="E231" s="17">
        <v>47.297499999999999</v>
      </c>
      <c r="F231" s="17">
        <v>-124.23269999999999</v>
      </c>
      <c r="G231" s="23" t="str">
        <f>MakeLocationsCode(E231,F231)</f>
        <v>E7L5-LOFS</v>
      </c>
    </row>
    <row r="232" spans="1:7" ht="15.6" x14ac:dyDescent="0.45">
      <c r="A232" s="16" t="s">
        <v>267</v>
      </c>
      <c r="B232" s="16" t="s">
        <v>21</v>
      </c>
      <c r="C232" s="16" t="s">
        <v>22</v>
      </c>
      <c r="D232" s="16" t="s">
        <v>189</v>
      </c>
      <c r="E232" s="17">
        <v>47.328299999999999</v>
      </c>
      <c r="F232" s="17">
        <v>-124.2728</v>
      </c>
      <c r="G232" s="23" t="str">
        <f>MakeLocationsCode(E232,F232)</f>
        <v>E7L5-OKOK</v>
      </c>
    </row>
    <row r="233" spans="1:7" ht="15.6" x14ac:dyDescent="0.45">
      <c r="A233" s="16" t="s">
        <v>268</v>
      </c>
      <c r="B233" s="16" t="s">
        <v>21</v>
      </c>
      <c r="C233" s="16" t="s">
        <v>22</v>
      </c>
      <c r="D233" s="16" t="s">
        <v>189</v>
      </c>
      <c r="E233" s="17">
        <v>47.249099999999999</v>
      </c>
      <c r="F233" s="17">
        <v>-123.9348</v>
      </c>
      <c r="G233" s="23" t="str">
        <f>MakeLocationsCode(E233,F233)</f>
        <v>E7L6-GMBD</v>
      </c>
    </row>
    <row r="234" spans="1:7" ht="15.6" x14ac:dyDescent="0.45">
      <c r="A234" s="16" t="s">
        <v>269</v>
      </c>
      <c r="B234" s="16" t="s">
        <v>21</v>
      </c>
      <c r="C234" s="16" t="s">
        <v>22</v>
      </c>
      <c r="D234" s="16" t="s">
        <v>189</v>
      </c>
      <c r="E234" s="17">
        <v>47.403100000000002</v>
      </c>
      <c r="F234" s="17">
        <v>-123.87820000000001</v>
      </c>
      <c r="G234" s="23" t="str">
        <f>MakeLocationsCode(E234,F234)</f>
        <v>E7L6-WSLC</v>
      </c>
    </row>
    <row r="235" spans="1:7" ht="15.6" x14ac:dyDescent="0.45">
      <c r="A235" s="16" t="s">
        <v>270</v>
      </c>
      <c r="B235" s="16" t="s">
        <v>21</v>
      </c>
      <c r="C235" s="16" t="s">
        <v>22</v>
      </c>
      <c r="D235" s="16" t="s">
        <v>271</v>
      </c>
      <c r="E235" s="17">
        <v>47.218600000000002</v>
      </c>
      <c r="F235" s="17">
        <v>-123.1121</v>
      </c>
      <c r="G235" s="23" t="str">
        <f>MakeLocationsCode(E235,F235)</f>
        <v>E7L9-D73G</v>
      </c>
    </row>
    <row r="236" spans="1:7" ht="15.6" x14ac:dyDescent="0.45">
      <c r="A236" s="16" t="s">
        <v>272</v>
      </c>
      <c r="B236" s="16" t="s">
        <v>21</v>
      </c>
      <c r="C236" s="16" t="s">
        <v>22</v>
      </c>
      <c r="D236" s="16" t="s">
        <v>271</v>
      </c>
      <c r="E236" s="17">
        <v>47.329799999999999</v>
      </c>
      <c r="F236" s="17">
        <v>-123.15730000000001</v>
      </c>
      <c r="G236" s="23" t="str">
        <f>MakeLocationsCode(E236,F236)</f>
        <v>E7L9-O2TO</v>
      </c>
    </row>
    <row r="237" spans="1:7" ht="15.6" x14ac:dyDescent="0.45">
      <c r="A237" s="16" t="s">
        <v>273</v>
      </c>
      <c r="B237" s="16" t="s">
        <v>21</v>
      </c>
      <c r="C237" s="16" t="s">
        <v>22</v>
      </c>
      <c r="D237" s="16" t="s">
        <v>271</v>
      </c>
      <c r="E237" s="17">
        <v>47.347499999999997</v>
      </c>
      <c r="F237" s="17">
        <v>-123.0951</v>
      </c>
      <c r="G237" s="23" t="str">
        <f>MakeLocationsCode(E237,F237)</f>
        <v>E7L9-Q9PA</v>
      </c>
    </row>
    <row r="238" spans="1:7" ht="15.6" x14ac:dyDescent="0.45">
      <c r="A238" s="16" t="s">
        <v>274</v>
      </c>
      <c r="B238" s="16" t="s">
        <v>21</v>
      </c>
      <c r="C238" s="16" t="s">
        <v>22</v>
      </c>
      <c r="D238" s="16" t="s">
        <v>271</v>
      </c>
      <c r="E238" s="17">
        <v>47.402200000000001</v>
      </c>
      <c r="F238" s="17">
        <v>-123.15349999999999</v>
      </c>
      <c r="G238" s="23" t="str">
        <f>MakeLocationsCode(E238,F238)</f>
        <v>E7L9-W3I3</v>
      </c>
    </row>
    <row r="239" spans="1:7" ht="15.6" x14ac:dyDescent="0.45">
      <c r="A239" s="16" t="s">
        <v>275</v>
      </c>
      <c r="B239" s="16" t="s">
        <v>21</v>
      </c>
      <c r="C239" s="16" t="s">
        <v>22</v>
      </c>
      <c r="D239" s="16" t="s">
        <v>151</v>
      </c>
      <c r="E239" s="17">
        <v>47.122199999999999</v>
      </c>
      <c r="F239" s="17">
        <v>-122.5962</v>
      </c>
      <c r="G239" s="23" t="str">
        <f>MakeLocationsCode(E239,F239)</f>
        <v>E7LA-2SU4</v>
      </c>
    </row>
    <row r="240" spans="1:7" ht="15.6" x14ac:dyDescent="0.45">
      <c r="A240" s="16" t="s">
        <v>276</v>
      </c>
      <c r="B240" s="16" t="s">
        <v>21</v>
      </c>
      <c r="C240" s="16" t="s">
        <v>22</v>
      </c>
      <c r="D240" s="16" t="s">
        <v>151</v>
      </c>
      <c r="E240" s="17">
        <v>47.157800000000002</v>
      </c>
      <c r="F240" s="17">
        <v>-122.7039</v>
      </c>
      <c r="G240" s="23" t="str">
        <f>MakeLocationsCode(E240,F240)</f>
        <v>E7LA-6GMO</v>
      </c>
    </row>
    <row r="241" spans="1:7" ht="15.6" x14ac:dyDescent="0.45">
      <c r="A241" s="16" t="s">
        <v>277</v>
      </c>
      <c r="B241" s="16" t="s">
        <v>21</v>
      </c>
      <c r="C241" s="16" t="s">
        <v>22</v>
      </c>
      <c r="D241" s="16" t="s">
        <v>151</v>
      </c>
      <c r="E241" s="17">
        <v>47.1569</v>
      </c>
      <c r="F241" s="17">
        <v>-122.6343</v>
      </c>
      <c r="G241" s="23" t="str">
        <f>MakeLocationsCode(E241,F241)</f>
        <v>E7LA-6OJ3</v>
      </c>
    </row>
    <row r="242" spans="1:7" ht="15.6" x14ac:dyDescent="0.45">
      <c r="A242" s="16" t="s">
        <v>278</v>
      </c>
      <c r="B242" s="16" t="s">
        <v>21</v>
      </c>
      <c r="C242" s="16" t="s">
        <v>22</v>
      </c>
      <c r="D242" s="16" t="s">
        <v>151</v>
      </c>
      <c r="E242" s="17">
        <v>47.170299999999997</v>
      </c>
      <c r="F242" s="17">
        <v>-122.5933</v>
      </c>
      <c r="G242" s="23" t="str">
        <f>MakeLocationsCode(E242,F242)</f>
        <v>E7LA-7SXE</v>
      </c>
    </row>
    <row r="243" spans="1:7" ht="15.6" x14ac:dyDescent="0.45">
      <c r="A243" s="16" t="s">
        <v>279</v>
      </c>
      <c r="B243" s="16" t="s">
        <v>21</v>
      </c>
      <c r="C243" s="16" t="s">
        <v>22</v>
      </c>
      <c r="D243" s="16" t="s">
        <v>151</v>
      </c>
      <c r="E243" s="17">
        <v>47.162799999999997</v>
      </c>
      <c r="F243" s="17">
        <v>-122.5299</v>
      </c>
      <c r="G243" s="23" t="str">
        <f>MakeLocationsCode(E243,F243)</f>
        <v>E7LA-7Z64</v>
      </c>
    </row>
    <row r="244" spans="1:7" ht="15.6" x14ac:dyDescent="0.45">
      <c r="A244" s="16" t="s">
        <v>280</v>
      </c>
      <c r="B244" s="16" t="s">
        <v>21</v>
      </c>
      <c r="C244" s="16" t="s">
        <v>22</v>
      </c>
      <c r="D244" s="16" t="s">
        <v>151</v>
      </c>
      <c r="E244" s="17">
        <v>47.214700000000001</v>
      </c>
      <c r="F244" s="17">
        <v>-122.5461</v>
      </c>
      <c r="G244" s="23" t="str">
        <f>MakeLocationsCode(E244,F244)</f>
        <v>E7LA-CXNE</v>
      </c>
    </row>
    <row r="245" spans="1:7" ht="15.6" x14ac:dyDescent="0.45">
      <c r="A245" s="16" t="s">
        <v>281</v>
      </c>
      <c r="B245" s="16" t="s">
        <v>21</v>
      </c>
      <c r="C245" s="16" t="s">
        <v>22</v>
      </c>
      <c r="D245" s="16" t="s">
        <v>151</v>
      </c>
      <c r="E245" s="17">
        <v>47.225700000000003</v>
      </c>
      <c r="F245" s="17">
        <v>-122.7739</v>
      </c>
      <c r="G245" s="23" t="str">
        <f>MakeLocationsCode(E245,F245)</f>
        <v>E7LA-D9TA</v>
      </c>
    </row>
    <row r="246" spans="1:7" ht="15.6" x14ac:dyDescent="0.45">
      <c r="A246" s="16" t="s">
        <v>282</v>
      </c>
      <c r="B246" s="16" t="s">
        <v>21</v>
      </c>
      <c r="C246" s="16" t="s">
        <v>22</v>
      </c>
      <c r="D246" s="16" t="s">
        <v>151</v>
      </c>
      <c r="E246" s="17">
        <v>47.247700000000002</v>
      </c>
      <c r="F246" s="17">
        <v>-122.62560000000001</v>
      </c>
      <c r="G246" s="23" t="str">
        <f>MakeLocationsCode(E246,F246)</f>
        <v>E7LA-GO6Y</v>
      </c>
    </row>
    <row r="247" spans="1:7" ht="15.6" x14ac:dyDescent="0.45">
      <c r="A247" s="16" t="s">
        <v>283</v>
      </c>
      <c r="B247" s="16" t="s">
        <v>21</v>
      </c>
      <c r="C247" s="16" t="s">
        <v>22</v>
      </c>
      <c r="D247" s="16" t="s">
        <v>151</v>
      </c>
      <c r="E247" s="17">
        <v>47.264499999999998</v>
      </c>
      <c r="F247" s="17">
        <v>-122.8348</v>
      </c>
      <c r="G247" s="23" t="str">
        <f>MakeLocationsCode(E247,F247)</f>
        <v>E7LA-H2WT</v>
      </c>
    </row>
    <row r="248" spans="1:7" ht="15.6" x14ac:dyDescent="0.45">
      <c r="A248" s="16" t="s">
        <v>284</v>
      </c>
      <c r="B248" s="16" t="s">
        <v>21</v>
      </c>
      <c r="C248" s="16" t="s">
        <v>22</v>
      </c>
      <c r="D248" s="16" t="s">
        <v>151</v>
      </c>
      <c r="E248" s="17">
        <v>47.279000000000003</v>
      </c>
      <c r="F248" s="17">
        <v>-122.7745</v>
      </c>
      <c r="G248" s="23" t="str">
        <f>MakeLocationsCode(E248,F248)</f>
        <v>E7LA-J9G8</v>
      </c>
    </row>
    <row r="249" spans="1:7" ht="15.6" x14ac:dyDescent="0.45">
      <c r="A249" s="16" t="s">
        <v>285</v>
      </c>
      <c r="B249" s="16" t="s">
        <v>21</v>
      </c>
      <c r="C249" s="16" t="s">
        <v>22</v>
      </c>
      <c r="D249" s="16" t="s">
        <v>151</v>
      </c>
      <c r="E249" s="17">
        <v>47.282800000000002</v>
      </c>
      <c r="F249" s="17">
        <v>-122.57680000000001</v>
      </c>
      <c r="G249" s="23" t="str">
        <f>MakeLocationsCode(E249,F249)</f>
        <v>E7LA-JUU6</v>
      </c>
    </row>
    <row r="250" spans="1:7" ht="15.6" x14ac:dyDescent="0.45">
      <c r="A250" s="16" t="s">
        <v>286</v>
      </c>
      <c r="B250" s="16" t="s">
        <v>21</v>
      </c>
      <c r="C250" s="16" t="s">
        <v>22</v>
      </c>
      <c r="D250" s="16" t="s">
        <v>151</v>
      </c>
      <c r="E250" s="17">
        <v>47.302100000000003</v>
      </c>
      <c r="F250" s="17">
        <v>-122.64060000000001</v>
      </c>
      <c r="G250" s="23" t="str">
        <f>MakeLocationsCode(E250,F250)</f>
        <v>E7LA-LNWE</v>
      </c>
    </row>
    <row r="251" spans="1:7" ht="15.6" x14ac:dyDescent="0.45">
      <c r="A251" s="16" t="s">
        <v>287</v>
      </c>
      <c r="B251" s="16" t="s">
        <v>21</v>
      </c>
      <c r="C251" s="16" t="s">
        <v>22</v>
      </c>
      <c r="D251" s="16" t="s">
        <v>151</v>
      </c>
      <c r="E251" s="17">
        <v>47.329000000000001</v>
      </c>
      <c r="F251" s="17">
        <v>-122.6687</v>
      </c>
      <c r="G251" s="23" t="str">
        <f>MakeLocationsCode(E251,F251)</f>
        <v>E7LA-OKQF</v>
      </c>
    </row>
    <row r="252" spans="1:7" ht="15.6" x14ac:dyDescent="0.45">
      <c r="A252" s="16" t="s">
        <v>288</v>
      </c>
      <c r="B252" s="16" t="s">
        <v>21</v>
      </c>
      <c r="C252" s="16" t="s">
        <v>22</v>
      </c>
      <c r="D252" s="16" t="s">
        <v>271</v>
      </c>
      <c r="E252" s="17">
        <v>47.331600000000002</v>
      </c>
      <c r="F252" s="17">
        <v>-122.8413</v>
      </c>
      <c r="G252" s="23" t="str">
        <f>MakeLocationsCode(E252,F252)</f>
        <v>E7LA-P225</v>
      </c>
    </row>
    <row r="253" spans="1:7" ht="15.6" x14ac:dyDescent="0.45">
      <c r="A253" s="16" t="s">
        <v>289</v>
      </c>
      <c r="B253" s="16" t="s">
        <v>21</v>
      </c>
      <c r="C253" s="16" t="s">
        <v>22</v>
      </c>
      <c r="D253" s="16" t="s">
        <v>151</v>
      </c>
      <c r="E253" s="17">
        <v>47.337600000000002</v>
      </c>
      <c r="F253" s="17">
        <v>-122.75060000000001</v>
      </c>
      <c r="G253" s="23" t="str">
        <f>MakeLocationsCode(E253,F253)</f>
        <v>E7LA-PBNQ</v>
      </c>
    </row>
    <row r="254" spans="1:7" ht="15.6" x14ac:dyDescent="0.45">
      <c r="A254" s="16" t="s">
        <v>290</v>
      </c>
      <c r="B254" s="16" t="s">
        <v>21</v>
      </c>
      <c r="C254" s="16" t="s">
        <v>22</v>
      </c>
      <c r="D254" s="16" t="s">
        <v>151</v>
      </c>
      <c r="E254" s="17">
        <v>47.3352</v>
      </c>
      <c r="F254" s="17">
        <v>-122.5964</v>
      </c>
      <c r="G254" s="23" t="str">
        <f>MakeLocationsCode(E254,F254)</f>
        <v>E7LA-PSF3</v>
      </c>
    </row>
    <row r="255" spans="1:7" ht="15.6" x14ac:dyDescent="0.45">
      <c r="A255" s="16" t="s">
        <v>291</v>
      </c>
      <c r="B255" s="16" t="s">
        <v>21</v>
      </c>
      <c r="C255" s="16" t="s">
        <v>22</v>
      </c>
      <c r="D255" s="16" t="s">
        <v>151</v>
      </c>
      <c r="E255" s="17">
        <v>47.345199999999998</v>
      </c>
      <c r="F255" s="17">
        <v>-122.6369</v>
      </c>
      <c r="G255" s="23" t="str">
        <f>MakeLocationsCode(E255,F255)</f>
        <v>E7LA-QNHR</v>
      </c>
    </row>
    <row r="256" spans="1:7" ht="15.6" x14ac:dyDescent="0.45">
      <c r="A256" s="16" t="s">
        <v>292</v>
      </c>
      <c r="B256" s="16" t="s">
        <v>21</v>
      </c>
      <c r="C256" s="16" t="s">
        <v>22</v>
      </c>
      <c r="D256" s="16" t="s">
        <v>151</v>
      </c>
      <c r="E256" s="17">
        <v>47.354999999999997</v>
      </c>
      <c r="F256" s="17">
        <v>-122.7773</v>
      </c>
      <c r="G256" s="23" t="str">
        <f>MakeLocationsCode(E256,F256)</f>
        <v>E7LA-R8IW</v>
      </c>
    </row>
    <row r="257" spans="1:7" ht="15.6" x14ac:dyDescent="0.45">
      <c r="A257" s="16" t="s">
        <v>293</v>
      </c>
      <c r="B257" s="16" t="s">
        <v>21</v>
      </c>
      <c r="C257" s="16" t="s">
        <v>22</v>
      </c>
      <c r="D257" s="16" t="s">
        <v>151</v>
      </c>
      <c r="E257" s="17">
        <v>47.3765</v>
      </c>
      <c r="F257" s="17">
        <v>-122.60209999999999</v>
      </c>
      <c r="G257" s="23" t="str">
        <f>MakeLocationsCode(E257,F257)</f>
        <v>E7LA-TRRG</v>
      </c>
    </row>
    <row r="258" spans="1:7" ht="15.6" x14ac:dyDescent="0.45">
      <c r="A258" s="16" t="s">
        <v>294</v>
      </c>
      <c r="B258" s="16" t="s">
        <v>21</v>
      </c>
      <c r="C258" s="16" t="s">
        <v>22</v>
      </c>
      <c r="D258" s="16" t="s">
        <v>151</v>
      </c>
      <c r="E258" s="17">
        <v>47.371499999999997</v>
      </c>
      <c r="F258" s="17">
        <v>-122.5689</v>
      </c>
      <c r="G258" s="23" t="str">
        <f>MakeLocationsCode(E258,F258)</f>
        <v>E7LA-TU9Y</v>
      </c>
    </row>
    <row r="259" spans="1:7" ht="15.6" x14ac:dyDescent="0.45">
      <c r="A259" s="16" t="s">
        <v>295</v>
      </c>
      <c r="B259" s="16" t="s">
        <v>21</v>
      </c>
      <c r="C259" s="16" t="s">
        <v>22</v>
      </c>
      <c r="D259" s="16" t="s">
        <v>271</v>
      </c>
      <c r="E259" s="17">
        <v>47.386299999999999</v>
      </c>
      <c r="F259" s="17">
        <v>-122.8386</v>
      </c>
      <c r="G259" s="23" t="str">
        <f>MakeLocationsCode(E259,F259)</f>
        <v>E7LA-U2TF</v>
      </c>
    </row>
    <row r="260" spans="1:7" ht="15.6" x14ac:dyDescent="0.45">
      <c r="A260" s="16" t="s">
        <v>296</v>
      </c>
      <c r="B260" s="16" t="s">
        <v>21</v>
      </c>
      <c r="C260" s="16" t="s">
        <v>22</v>
      </c>
      <c r="D260" s="16" t="s">
        <v>151</v>
      </c>
      <c r="E260" s="17">
        <v>47.381399999999999</v>
      </c>
      <c r="F260" s="17">
        <v>-122.7153</v>
      </c>
      <c r="G260" s="23" t="str">
        <f>MakeLocationsCode(E260,F260)</f>
        <v>E7LA-UFBH</v>
      </c>
    </row>
    <row r="261" spans="1:7" ht="15.6" x14ac:dyDescent="0.45">
      <c r="A261" s="16" t="s">
        <v>297</v>
      </c>
      <c r="B261" s="16" t="s">
        <v>21</v>
      </c>
      <c r="C261" s="16" t="s">
        <v>22</v>
      </c>
      <c r="D261" s="16" t="s">
        <v>151</v>
      </c>
      <c r="E261" s="17">
        <v>47.386000000000003</v>
      </c>
      <c r="F261" s="17">
        <v>-122.6695</v>
      </c>
      <c r="G261" s="23" t="str">
        <f>MakeLocationsCode(E261,F261)</f>
        <v>E7LA-UKSC</v>
      </c>
    </row>
    <row r="262" spans="1:7" ht="15.6" x14ac:dyDescent="0.45">
      <c r="A262" s="16" t="s">
        <v>298</v>
      </c>
      <c r="B262" s="16" t="s">
        <v>21</v>
      </c>
      <c r="C262" s="16" t="s">
        <v>22</v>
      </c>
      <c r="D262" s="16" t="s">
        <v>151</v>
      </c>
      <c r="E262" s="17">
        <v>47.3934</v>
      </c>
      <c r="F262" s="17">
        <v>-122.6117</v>
      </c>
      <c r="G262" s="23" t="str">
        <f>MakeLocationsCode(E262,F262)</f>
        <v>E7LA-VQKG</v>
      </c>
    </row>
    <row r="263" spans="1:7" ht="15.6" x14ac:dyDescent="0.45">
      <c r="A263" s="16" t="s">
        <v>299</v>
      </c>
      <c r="B263" s="16" t="s">
        <v>21</v>
      </c>
      <c r="C263" s="16" t="s">
        <v>22</v>
      </c>
      <c r="D263" s="16" t="s">
        <v>300</v>
      </c>
      <c r="E263" s="17">
        <v>47.416600000000003</v>
      </c>
      <c r="F263" s="17">
        <v>-122.6377</v>
      </c>
      <c r="G263" s="23" t="str">
        <f>MakeLocationsCode(E263,F263)</f>
        <v>E7LA-YN2O</v>
      </c>
    </row>
    <row r="264" spans="1:7" ht="15.6" x14ac:dyDescent="0.45">
      <c r="A264" s="16" t="s">
        <v>301</v>
      </c>
      <c r="B264" s="16" t="s">
        <v>21</v>
      </c>
      <c r="C264" s="16" t="s">
        <v>22</v>
      </c>
      <c r="D264" s="16" t="s">
        <v>151</v>
      </c>
      <c r="E264" s="17">
        <v>47.119799999999998</v>
      </c>
      <c r="F264" s="17">
        <v>-122.28530000000001</v>
      </c>
      <c r="G264" s="23" t="str">
        <f>MakeLocationsCode(E264,F264)</f>
        <v>E7LB-2QLZ</v>
      </c>
    </row>
    <row r="265" spans="1:7" ht="15.6" x14ac:dyDescent="0.45">
      <c r="A265" s="16" t="s">
        <v>302</v>
      </c>
      <c r="B265" s="16" t="s">
        <v>21</v>
      </c>
      <c r="C265" s="16" t="s">
        <v>22</v>
      </c>
      <c r="D265" s="16" t="s">
        <v>151</v>
      </c>
      <c r="E265" s="17">
        <v>47.133000000000003</v>
      </c>
      <c r="F265" s="17">
        <v>-122.4923</v>
      </c>
      <c r="G265" s="23" t="str">
        <f>MakeLocationsCode(E265,F265)</f>
        <v>E7LB-35Z4</v>
      </c>
    </row>
    <row r="266" spans="1:7" ht="15.6" x14ac:dyDescent="0.45">
      <c r="A266" s="16" t="s">
        <v>303</v>
      </c>
      <c r="B266" s="16" t="s">
        <v>21</v>
      </c>
      <c r="C266" s="16" t="s">
        <v>22</v>
      </c>
      <c r="D266" s="16" t="s">
        <v>151</v>
      </c>
      <c r="E266" s="17">
        <v>47.128599999999999</v>
      </c>
      <c r="F266" s="17">
        <v>-122.23739999999999</v>
      </c>
      <c r="G266" s="23" t="str">
        <f>MakeLocationsCode(E266,F266)</f>
        <v>E7LB-3WJ3</v>
      </c>
    </row>
    <row r="267" spans="1:7" ht="15.6" x14ac:dyDescent="0.45">
      <c r="A267" s="16" t="s">
        <v>304</v>
      </c>
      <c r="B267" s="16" t="s">
        <v>21</v>
      </c>
      <c r="C267" s="16" t="s">
        <v>22</v>
      </c>
      <c r="D267" s="16" t="s">
        <v>151</v>
      </c>
      <c r="E267" s="17">
        <v>47.1417</v>
      </c>
      <c r="F267" s="17">
        <v>-122.4376</v>
      </c>
      <c r="G267" s="23" t="str">
        <f>MakeLocationsCode(E267,F267)</f>
        <v>E7LB-4AWV</v>
      </c>
    </row>
    <row r="268" spans="1:7" ht="15.6" x14ac:dyDescent="0.45">
      <c r="A268" s="16" t="s">
        <v>305</v>
      </c>
      <c r="B268" s="16" t="s">
        <v>21</v>
      </c>
      <c r="C268" s="16" t="s">
        <v>22</v>
      </c>
      <c r="D268" s="16" t="s">
        <v>151</v>
      </c>
      <c r="E268" s="17">
        <v>47.1404</v>
      </c>
      <c r="F268" s="17">
        <v>-122.3827</v>
      </c>
      <c r="G268" s="23" t="str">
        <f>MakeLocationsCode(E268,F268)</f>
        <v>E7LB-4GRO</v>
      </c>
    </row>
    <row r="269" spans="1:7" ht="15.6" x14ac:dyDescent="0.45">
      <c r="A269" s="16" t="s">
        <v>306</v>
      </c>
      <c r="B269" s="16" t="s">
        <v>21</v>
      </c>
      <c r="C269" s="16" t="s">
        <v>22</v>
      </c>
      <c r="D269" s="16" t="s">
        <v>151</v>
      </c>
      <c r="E269" s="17">
        <v>47.134300000000003</v>
      </c>
      <c r="F269" s="17">
        <v>-122.3467</v>
      </c>
      <c r="G269" s="23" t="str">
        <f>MakeLocationsCode(E269,F269)</f>
        <v>E7LB-4K5I</v>
      </c>
    </row>
    <row r="270" spans="1:7" ht="15.6" x14ac:dyDescent="0.45">
      <c r="A270" s="16" t="s">
        <v>307</v>
      </c>
      <c r="B270" s="16" t="s">
        <v>21</v>
      </c>
      <c r="C270" s="16" t="s">
        <v>22</v>
      </c>
      <c r="D270" s="16" t="s">
        <v>151</v>
      </c>
      <c r="E270" s="17">
        <v>47.169400000000003</v>
      </c>
      <c r="F270" s="17">
        <v>-122.36279999999999</v>
      </c>
      <c r="G270" s="23" t="str">
        <f>MakeLocationsCode(E270,F270)</f>
        <v>E7LB-7IUS</v>
      </c>
    </row>
    <row r="271" spans="1:7" ht="15.6" x14ac:dyDescent="0.45">
      <c r="A271" s="16" t="s">
        <v>308</v>
      </c>
      <c r="B271" s="16" t="s">
        <v>21</v>
      </c>
      <c r="C271" s="16" t="s">
        <v>22</v>
      </c>
      <c r="D271" s="16" t="s">
        <v>151</v>
      </c>
      <c r="E271" s="17">
        <v>47.173400000000001</v>
      </c>
      <c r="F271" s="17">
        <v>-122.41200000000001</v>
      </c>
      <c r="G271" s="23" t="str">
        <f>MakeLocationsCode(E271,F271)</f>
        <v>E7LB-8DAL</v>
      </c>
    </row>
    <row r="272" spans="1:7" ht="15.6" x14ac:dyDescent="0.45">
      <c r="A272" s="16" t="s">
        <v>309</v>
      </c>
      <c r="B272" s="16" t="s">
        <v>21</v>
      </c>
      <c r="C272" s="16" t="s">
        <v>22</v>
      </c>
      <c r="D272" s="16" t="s">
        <v>151</v>
      </c>
      <c r="E272" s="17">
        <v>47.179299999999998</v>
      </c>
      <c r="F272" s="17">
        <v>-122.2902</v>
      </c>
      <c r="G272" s="23" t="str">
        <f>MakeLocationsCode(E272,F272)</f>
        <v>E7LB-8QVH</v>
      </c>
    </row>
    <row r="273" spans="1:7" ht="15.6" x14ac:dyDescent="0.45">
      <c r="A273" s="16" t="s">
        <v>310</v>
      </c>
      <c r="B273" s="16" t="s">
        <v>21</v>
      </c>
      <c r="C273" s="16" t="s">
        <v>22</v>
      </c>
      <c r="D273" s="16" t="s">
        <v>151</v>
      </c>
      <c r="E273" s="17">
        <v>47.172800000000002</v>
      </c>
      <c r="F273" s="17">
        <v>-122.2209</v>
      </c>
      <c r="G273" s="23" t="str">
        <f>MakeLocationsCode(E273,F273)</f>
        <v>E7LB-8X8T</v>
      </c>
    </row>
    <row r="274" spans="1:7" ht="15.6" x14ac:dyDescent="0.45">
      <c r="A274" s="16" t="s">
        <v>311</v>
      </c>
      <c r="B274" s="16" t="s">
        <v>21</v>
      </c>
      <c r="C274" s="16" t="s">
        <v>22</v>
      </c>
      <c r="D274" s="16" t="s">
        <v>151</v>
      </c>
      <c r="E274" s="17">
        <v>47.203499999999998</v>
      </c>
      <c r="F274" s="17">
        <v>-122.37</v>
      </c>
      <c r="G274" s="23" t="str">
        <f>MakeLocationsCode(E274,F274)</f>
        <v>E7LB-BIH2</v>
      </c>
    </row>
    <row r="275" spans="1:7" ht="15.6" x14ac:dyDescent="0.45">
      <c r="A275" s="16" t="s">
        <v>312</v>
      </c>
      <c r="B275" s="16" t="s">
        <v>21</v>
      </c>
      <c r="C275" s="16" t="s">
        <v>22</v>
      </c>
      <c r="D275" s="16" t="s">
        <v>151</v>
      </c>
      <c r="E275" s="17">
        <v>47.201500000000003</v>
      </c>
      <c r="F275" s="17">
        <v>-122.27419999999999</v>
      </c>
      <c r="G275" s="23" t="str">
        <f>MakeLocationsCode(E275,F275)</f>
        <v>E7LB-BS97</v>
      </c>
    </row>
    <row r="276" spans="1:7" ht="15.6" x14ac:dyDescent="0.45">
      <c r="A276" s="16" t="s">
        <v>313</v>
      </c>
      <c r="B276" s="16" t="s">
        <v>21</v>
      </c>
      <c r="C276" s="16" t="s">
        <v>22</v>
      </c>
      <c r="D276" s="16" t="s">
        <v>151</v>
      </c>
      <c r="E276" s="17">
        <v>47.218899999999998</v>
      </c>
      <c r="F276" s="17">
        <v>-122.2338</v>
      </c>
      <c r="G276" s="23" t="str">
        <f>MakeLocationsCode(E276,F276)</f>
        <v>E7LB-DW4G</v>
      </c>
    </row>
    <row r="277" spans="1:7" ht="15.6" x14ac:dyDescent="0.45">
      <c r="A277" s="16" t="s">
        <v>314</v>
      </c>
      <c r="B277" s="16" t="s">
        <v>21</v>
      </c>
      <c r="C277" s="16" t="s">
        <v>22</v>
      </c>
      <c r="D277" s="16" t="s">
        <v>151</v>
      </c>
      <c r="E277" s="17">
        <v>47.230699999999999</v>
      </c>
      <c r="F277" s="17">
        <v>-122.5157</v>
      </c>
      <c r="G277" s="23" t="str">
        <f>MakeLocationsCode(E277,F277)</f>
        <v>E7LB-E2DL</v>
      </c>
    </row>
    <row r="278" spans="1:7" ht="15.6" x14ac:dyDescent="0.45">
      <c r="A278" s="16" t="s">
        <v>315</v>
      </c>
      <c r="B278" s="16" t="s">
        <v>21</v>
      </c>
      <c r="C278" s="16" t="s">
        <v>22</v>
      </c>
      <c r="D278" s="16" t="s">
        <v>151</v>
      </c>
      <c r="E278" s="17">
        <v>47.232900000000001</v>
      </c>
      <c r="F278" s="17">
        <v>-122.3518</v>
      </c>
      <c r="G278" s="23" t="str">
        <f>MakeLocationsCode(E278,F278)</f>
        <v>E7LB-EJKY</v>
      </c>
    </row>
    <row r="279" spans="1:7" ht="15.6" x14ac:dyDescent="0.45">
      <c r="A279" s="16" t="s">
        <v>316</v>
      </c>
      <c r="B279" s="16" t="s">
        <v>21</v>
      </c>
      <c r="C279" s="16" t="s">
        <v>22</v>
      </c>
      <c r="D279" s="16" t="s">
        <v>151</v>
      </c>
      <c r="E279" s="17">
        <v>47.230899999999998</v>
      </c>
      <c r="F279" s="17">
        <v>-122.28319999999999</v>
      </c>
      <c r="G279" s="23" t="str">
        <f>MakeLocationsCode(E279,F279)</f>
        <v>E7LB-ERD8</v>
      </c>
    </row>
    <row r="280" spans="1:7" ht="15.6" x14ac:dyDescent="0.45">
      <c r="A280" s="16" t="s">
        <v>317</v>
      </c>
      <c r="B280" s="16" t="s">
        <v>21</v>
      </c>
      <c r="C280" s="16" t="s">
        <v>22</v>
      </c>
      <c r="D280" s="16" t="s">
        <v>151</v>
      </c>
      <c r="E280" s="17">
        <v>47.243099999999998</v>
      </c>
      <c r="F280" s="17">
        <v>-122.45310000000001</v>
      </c>
      <c r="G280" s="23" t="str">
        <f>MakeLocationsCode(E280,F280)</f>
        <v>E7LB-F9N9</v>
      </c>
    </row>
    <row r="281" spans="1:7" ht="15.6" x14ac:dyDescent="0.45">
      <c r="A281" s="16" t="s">
        <v>318</v>
      </c>
      <c r="B281" s="16" t="s">
        <v>21</v>
      </c>
      <c r="C281" s="16" t="s">
        <v>22</v>
      </c>
      <c r="D281" s="16" t="s">
        <v>151</v>
      </c>
      <c r="E281" s="17">
        <v>47.252400000000002</v>
      </c>
      <c r="F281" s="17">
        <v>-122.31529999999999</v>
      </c>
      <c r="G281" s="23" t="str">
        <f>MakeLocationsCode(E281,F281)</f>
        <v>E7LB-GNNT</v>
      </c>
    </row>
    <row r="282" spans="1:7" ht="15.6" x14ac:dyDescent="0.45">
      <c r="A282" s="16" t="s">
        <v>319</v>
      </c>
      <c r="B282" s="16" t="s">
        <v>21</v>
      </c>
      <c r="C282" s="16" t="s">
        <v>22</v>
      </c>
      <c r="D282" s="16" t="s">
        <v>151</v>
      </c>
      <c r="E282" s="17">
        <v>47.259599999999999</v>
      </c>
      <c r="F282" s="17">
        <v>-122.346</v>
      </c>
      <c r="G282" s="23" t="str">
        <f>MakeLocationsCode(E282,F282)</f>
        <v>E7LB-HKFK</v>
      </c>
    </row>
    <row r="283" spans="1:7" ht="15.6" x14ac:dyDescent="0.45">
      <c r="A283" s="16" t="s">
        <v>81</v>
      </c>
      <c r="B283" s="16" t="s">
        <v>21</v>
      </c>
      <c r="C283" s="16" t="s">
        <v>22</v>
      </c>
      <c r="D283" s="16" t="s">
        <v>320</v>
      </c>
      <c r="E283" s="17">
        <v>47.261000000000003</v>
      </c>
      <c r="F283" s="17">
        <v>-122.25069999999999</v>
      </c>
      <c r="G283" s="23" t="str">
        <f>MakeLocationsCode(E283,F283)</f>
        <v>E7LB-HUKN</v>
      </c>
    </row>
    <row r="284" spans="1:7" ht="15.6" x14ac:dyDescent="0.45">
      <c r="A284" s="16" t="s">
        <v>321</v>
      </c>
      <c r="B284" s="16" t="s">
        <v>21</v>
      </c>
      <c r="C284" s="16" t="s">
        <v>22</v>
      </c>
      <c r="D284" s="16" t="s">
        <v>320</v>
      </c>
      <c r="E284" s="17">
        <v>47.278599999999997</v>
      </c>
      <c r="F284" s="17">
        <v>-122.2826</v>
      </c>
      <c r="G284" s="23" t="str">
        <f>MakeLocationsCode(E284,F284)</f>
        <v>E7LB-JRFB</v>
      </c>
    </row>
    <row r="285" spans="1:7" ht="15.6" x14ac:dyDescent="0.45">
      <c r="A285" s="16" t="s">
        <v>322</v>
      </c>
      <c r="B285" s="16" t="s">
        <v>21</v>
      </c>
      <c r="C285" s="16" t="s">
        <v>22</v>
      </c>
      <c r="D285" s="16" t="s">
        <v>320</v>
      </c>
      <c r="E285" s="17">
        <v>47.281999999999996</v>
      </c>
      <c r="F285" s="17">
        <v>-122.2504</v>
      </c>
      <c r="G285" s="23" t="str">
        <f>MakeLocationsCode(E285,F285)</f>
        <v>E7LB-JURP</v>
      </c>
    </row>
    <row r="286" spans="1:7" ht="15.6" x14ac:dyDescent="0.45">
      <c r="A286" s="16" t="s">
        <v>323</v>
      </c>
      <c r="B286" s="16" t="s">
        <v>21</v>
      </c>
      <c r="C286" s="16" t="s">
        <v>22</v>
      </c>
      <c r="D286" s="16" t="s">
        <v>151</v>
      </c>
      <c r="E286" s="17">
        <v>47.298200000000001</v>
      </c>
      <c r="F286" s="17">
        <v>-122.5103</v>
      </c>
      <c r="G286" s="23" t="str">
        <f>MakeLocationsCode(E286,F286)</f>
        <v>E7LB-L3I7</v>
      </c>
    </row>
    <row r="287" spans="1:7" ht="15.6" x14ac:dyDescent="0.45">
      <c r="A287" s="16" t="s">
        <v>324</v>
      </c>
      <c r="B287" s="16" t="s">
        <v>21</v>
      </c>
      <c r="C287" s="16" t="s">
        <v>22</v>
      </c>
      <c r="D287" s="16" t="s">
        <v>151</v>
      </c>
      <c r="E287" s="17">
        <v>47.303600000000003</v>
      </c>
      <c r="F287" s="17">
        <v>-122.43689999999999</v>
      </c>
      <c r="G287" s="23" t="str">
        <f>MakeLocationsCode(E287,F287)</f>
        <v>E7LB-MA3X</v>
      </c>
    </row>
    <row r="288" spans="1:7" ht="15.6" x14ac:dyDescent="0.45">
      <c r="A288" s="16" t="s">
        <v>325</v>
      </c>
      <c r="B288" s="16" t="s">
        <v>21</v>
      </c>
      <c r="C288" s="16" t="s">
        <v>22</v>
      </c>
      <c r="D288" s="16" t="s">
        <v>320</v>
      </c>
      <c r="E288" s="17">
        <v>47.309100000000001</v>
      </c>
      <c r="F288" s="17">
        <v>-122.33580000000001</v>
      </c>
      <c r="G288" s="23" t="str">
        <f>MakeLocationsCode(E288,F288)</f>
        <v>E7LB-MLNN</v>
      </c>
    </row>
    <row r="289" spans="1:7" ht="15.6" x14ac:dyDescent="0.45">
      <c r="A289" s="16" t="s">
        <v>326</v>
      </c>
      <c r="B289" s="16" t="s">
        <v>21</v>
      </c>
      <c r="C289" s="16" t="s">
        <v>22</v>
      </c>
      <c r="D289" s="16" t="s">
        <v>320</v>
      </c>
      <c r="E289" s="17">
        <v>47.303899999999999</v>
      </c>
      <c r="F289" s="17">
        <v>-122.21080000000001</v>
      </c>
      <c r="G289" s="23" t="str">
        <f>MakeLocationsCode(E289,F289)</f>
        <v>E7LB-MY4V</v>
      </c>
    </row>
    <row r="290" spans="1:7" ht="15.6" x14ac:dyDescent="0.45">
      <c r="A290" s="16" t="s">
        <v>327</v>
      </c>
      <c r="B290" s="16" t="s">
        <v>21</v>
      </c>
      <c r="C290" s="16" t="s">
        <v>22</v>
      </c>
      <c r="D290" s="16" t="s">
        <v>151</v>
      </c>
      <c r="E290" s="17">
        <v>47.313000000000002</v>
      </c>
      <c r="F290" s="17">
        <v>-122.41540000000001</v>
      </c>
      <c r="G290" s="23" t="str">
        <f>MakeLocationsCode(E290,F290)</f>
        <v>E7LB-ND39</v>
      </c>
    </row>
    <row r="291" spans="1:7" ht="15.6" x14ac:dyDescent="0.45">
      <c r="A291" s="16" t="s">
        <v>328</v>
      </c>
      <c r="B291" s="16" t="s">
        <v>21</v>
      </c>
      <c r="C291" s="16" t="s">
        <v>22</v>
      </c>
      <c r="D291" s="16" t="s">
        <v>320</v>
      </c>
      <c r="E291" s="17">
        <v>47.337400000000002</v>
      </c>
      <c r="F291" s="17">
        <v>-122.2812</v>
      </c>
      <c r="G291" s="23" t="str">
        <f>MakeLocationsCode(E291,F291)</f>
        <v>E7LB-PRNG</v>
      </c>
    </row>
    <row r="292" spans="1:7" ht="15.6" x14ac:dyDescent="0.45">
      <c r="A292" s="16" t="s">
        <v>329</v>
      </c>
      <c r="B292" s="16" t="s">
        <v>21</v>
      </c>
      <c r="C292" s="16" t="s">
        <v>22</v>
      </c>
      <c r="D292" s="16" t="s">
        <v>320</v>
      </c>
      <c r="E292" s="17">
        <v>47.391399999999997</v>
      </c>
      <c r="F292" s="17">
        <v>-122.3156</v>
      </c>
      <c r="G292" s="23" t="str">
        <f>MakeLocationsCode(E292,F292)</f>
        <v>E7LB-VNDS</v>
      </c>
    </row>
    <row r="293" spans="1:7" ht="15.6" x14ac:dyDescent="0.45">
      <c r="A293" s="16" t="s">
        <v>330</v>
      </c>
      <c r="B293" s="16" t="s">
        <v>21</v>
      </c>
      <c r="C293" s="16" t="s">
        <v>22</v>
      </c>
      <c r="D293" s="16" t="s">
        <v>320</v>
      </c>
      <c r="E293" s="17">
        <v>47.3887</v>
      </c>
      <c r="F293" s="17">
        <v>-122.2128</v>
      </c>
      <c r="G293" s="23" t="str">
        <f>MakeLocationsCode(E293,F293)</f>
        <v>E7LB-VY3O</v>
      </c>
    </row>
    <row r="294" spans="1:7" ht="15.6" x14ac:dyDescent="0.45">
      <c r="A294" s="16" t="s">
        <v>331</v>
      </c>
      <c r="B294" s="16" t="s">
        <v>21</v>
      </c>
      <c r="C294" s="16" t="s">
        <v>22</v>
      </c>
      <c r="D294" s="16" t="s">
        <v>320</v>
      </c>
      <c r="E294" s="17">
        <v>47.412199999999999</v>
      </c>
      <c r="F294" s="17">
        <v>-122.4726</v>
      </c>
      <c r="G294" s="23" t="str">
        <f>MakeLocationsCode(E294,F294)</f>
        <v>E7LB-X7K7</v>
      </c>
    </row>
    <row r="295" spans="1:7" ht="15.6" x14ac:dyDescent="0.45">
      <c r="A295" s="16" t="s">
        <v>332</v>
      </c>
      <c r="B295" s="16" t="s">
        <v>21</v>
      </c>
      <c r="C295" s="16" t="s">
        <v>22</v>
      </c>
      <c r="D295" s="16" t="s">
        <v>320</v>
      </c>
      <c r="E295" s="17">
        <v>47.434199999999997</v>
      </c>
      <c r="F295" s="17">
        <v>-122.3436</v>
      </c>
      <c r="G295" s="23" t="str">
        <f>MakeLocationsCode(E295,F295)</f>
        <v>E7LB-ZKVT</v>
      </c>
    </row>
    <row r="296" spans="1:7" ht="15.6" x14ac:dyDescent="0.45">
      <c r="A296" s="16" t="s">
        <v>333</v>
      </c>
      <c r="B296" s="16" t="s">
        <v>21</v>
      </c>
      <c r="C296" s="16" t="s">
        <v>22</v>
      </c>
      <c r="D296" s="16" t="s">
        <v>151</v>
      </c>
      <c r="E296" s="17">
        <v>47.116500000000002</v>
      </c>
      <c r="F296" s="17">
        <v>-122.1824</v>
      </c>
      <c r="G296" s="23" t="str">
        <f>MakeLocationsCode(E296,F296)</f>
        <v>E7LC-239V</v>
      </c>
    </row>
    <row r="297" spans="1:7" ht="15.6" x14ac:dyDescent="0.45">
      <c r="A297" s="16" t="s">
        <v>334</v>
      </c>
      <c r="B297" s="16" t="s">
        <v>21</v>
      </c>
      <c r="C297" s="16" t="s">
        <v>22</v>
      </c>
      <c r="D297" s="16" t="s">
        <v>151</v>
      </c>
      <c r="E297" s="17">
        <v>47.137300000000003</v>
      </c>
      <c r="F297" s="17">
        <v>-122.0939</v>
      </c>
      <c r="G297" s="23" t="str">
        <f>MakeLocationsCode(E297,F297)</f>
        <v>E7LC-4DGA</v>
      </c>
    </row>
    <row r="298" spans="1:7" ht="15.6" x14ac:dyDescent="0.45">
      <c r="A298" s="16" t="s">
        <v>335</v>
      </c>
      <c r="B298" s="16" t="s">
        <v>21</v>
      </c>
      <c r="C298" s="16" t="s">
        <v>22</v>
      </c>
      <c r="D298" s="16" t="s">
        <v>151</v>
      </c>
      <c r="E298" s="17">
        <v>47.143799999999999</v>
      </c>
      <c r="F298" s="17">
        <v>-122.1408</v>
      </c>
      <c r="G298" s="23" t="str">
        <f>MakeLocationsCode(E298,F298)</f>
        <v>E7LC-586B</v>
      </c>
    </row>
    <row r="299" spans="1:7" ht="15.6" x14ac:dyDescent="0.45">
      <c r="A299" s="16" t="s">
        <v>336</v>
      </c>
      <c r="B299" s="16" t="s">
        <v>21</v>
      </c>
      <c r="C299" s="16" t="s">
        <v>22</v>
      </c>
      <c r="D299" s="16" t="s">
        <v>151</v>
      </c>
      <c r="E299" s="17">
        <v>47.152900000000002</v>
      </c>
      <c r="F299" s="17">
        <v>-122.1048</v>
      </c>
      <c r="G299" s="23" t="str">
        <f>MakeLocationsCode(E299,F299)</f>
        <v>E7LC-6C45</v>
      </c>
    </row>
    <row r="300" spans="1:7" ht="15.6" x14ac:dyDescent="0.45">
      <c r="A300" s="16" t="s">
        <v>337</v>
      </c>
      <c r="B300" s="16" t="s">
        <v>21</v>
      </c>
      <c r="C300" s="16" t="s">
        <v>22</v>
      </c>
      <c r="D300" s="16" t="s">
        <v>151</v>
      </c>
      <c r="E300" s="17">
        <v>47.161499999999997</v>
      </c>
      <c r="F300" s="17">
        <v>-122.02</v>
      </c>
      <c r="G300" s="23" t="str">
        <f>MakeLocationsCode(E300,F300)</f>
        <v>E7LC-6LZ4</v>
      </c>
    </row>
    <row r="301" spans="1:7" ht="15.6" x14ac:dyDescent="0.45">
      <c r="A301" s="16" t="s">
        <v>338</v>
      </c>
      <c r="B301" s="16" t="s">
        <v>21</v>
      </c>
      <c r="C301" s="16" t="s">
        <v>22</v>
      </c>
      <c r="D301" s="16" t="s">
        <v>151</v>
      </c>
      <c r="E301" s="17">
        <v>47.179099999999998</v>
      </c>
      <c r="F301" s="17">
        <v>-122.17</v>
      </c>
      <c r="G301" s="23" t="str">
        <f>MakeLocationsCode(E301,F301)</f>
        <v>E7LC-85V8</v>
      </c>
    </row>
    <row r="302" spans="1:7" ht="15.6" x14ac:dyDescent="0.45">
      <c r="A302" s="16" t="s">
        <v>339</v>
      </c>
      <c r="B302" s="16" t="s">
        <v>21</v>
      </c>
      <c r="C302" s="16" t="s">
        <v>22</v>
      </c>
      <c r="D302" s="16" t="s">
        <v>320</v>
      </c>
      <c r="E302" s="17">
        <v>47.201799999999999</v>
      </c>
      <c r="F302" s="17">
        <v>-121.9897</v>
      </c>
      <c r="G302" s="23" t="str">
        <f>MakeLocationsCode(E302,F302)</f>
        <v>E7LC-BOAB</v>
      </c>
    </row>
    <row r="303" spans="1:7" ht="15.6" x14ac:dyDescent="0.45">
      <c r="A303" s="16" t="s">
        <v>340</v>
      </c>
      <c r="B303" s="16" t="s">
        <v>21</v>
      </c>
      <c r="C303" s="16" t="s">
        <v>22</v>
      </c>
      <c r="D303" s="16" t="s">
        <v>151</v>
      </c>
      <c r="E303" s="17">
        <v>47.230699999999999</v>
      </c>
      <c r="F303" s="17">
        <v>-122.1695</v>
      </c>
      <c r="G303" s="23" t="str">
        <f>MakeLocationsCode(E303,F303)</f>
        <v>E7LC-E5DA</v>
      </c>
    </row>
    <row r="304" spans="1:7" ht="15.6" x14ac:dyDescent="0.45">
      <c r="A304" s="16" t="s">
        <v>341</v>
      </c>
      <c r="B304" s="16" t="s">
        <v>21</v>
      </c>
      <c r="C304" s="16" t="s">
        <v>22</v>
      </c>
      <c r="D304" s="16" t="s">
        <v>320</v>
      </c>
      <c r="E304" s="17">
        <v>47.298499999999997</v>
      </c>
      <c r="F304" s="17">
        <v>-122.1335</v>
      </c>
      <c r="G304" s="23" t="str">
        <f>MakeLocationsCode(E304,F304)</f>
        <v>E7LC-L9J3</v>
      </c>
    </row>
    <row r="305" spans="1:7" ht="15.6" x14ac:dyDescent="0.45">
      <c r="A305" s="16" t="s">
        <v>342</v>
      </c>
      <c r="B305" s="16" t="s">
        <v>21</v>
      </c>
      <c r="C305" s="16" t="s">
        <v>22</v>
      </c>
      <c r="D305" s="16" t="s">
        <v>320</v>
      </c>
      <c r="E305" s="17">
        <v>47.313000000000002</v>
      </c>
      <c r="F305" s="17">
        <v>-122.0181</v>
      </c>
      <c r="G305" s="23" t="str">
        <f>MakeLocationsCode(E305,F305)</f>
        <v>E7LC-NL3B</v>
      </c>
    </row>
    <row r="306" spans="1:7" ht="15.6" x14ac:dyDescent="0.45">
      <c r="A306" s="16" t="s">
        <v>343</v>
      </c>
      <c r="B306" s="16" t="s">
        <v>21</v>
      </c>
      <c r="C306" s="16" t="s">
        <v>22</v>
      </c>
      <c r="D306" s="16" t="s">
        <v>320</v>
      </c>
      <c r="E306" s="17">
        <v>47.332500000000003</v>
      </c>
      <c r="F306" s="17">
        <v>-122.1032</v>
      </c>
      <c r="G306" s="23" t="str">
        <f>MakeLocationsCode(E306,F306)</f>
        <v>E7LC-PC5A</v>
      </c>
    </row>
    <row r="307" spans="1:7" ht="15.6" x14ac:dyDescent="0.45">
      <c r="A307" s="16" t="s">
        <v>344</v>
      </c>
      <c r="B307" s="16" t="s">
        <v>21</v>
      </c>
      <c r="C307" s="16" t="s">
        <v>22</v>
      </c>
      <c r="D307" s="16" t="s">
        <v>320</v>
      </c>
      <c r="E307" s="17">
        <v>47.358899999999998</v>
      </c>
      <c r="F307" s="17">
        <v>-121.9781</v>
      </c>
      <c r="G307" s="23" t="str">
        <f>MakeLocationsCode(E307,F307)</f>
        <v>E7LC-RPWJ</v>
      </c>
    </row>
    <row r="308" spans="1:7" ht="15.6" x14ac:dyDescent="0.45">
      <c r="A308" s="16" t="s">
        <v>345</v>
      </c>
      <c r="B308" s="16" t="s">
        <v>21</v>
      </c>
      <c r="C308" s="16" t="s">
        <v>22</v>
      </c>
      <c r="D308" s="16" t="s">
        <v>320</v>
      </c>
      <c r="E308" s="17">
        <v>47.366700000000002</v>
      </c>
      <c r="F308" s="17">
        <v>-122.1045</v>
      </c>
      <c r="G308" s="23" t="str">
        <f>MakeLocationsCode(E308,F308)</f>
        <v>E7LC-SCQ6</v>
      </c>
    </row>
    <row r="309" spans="1:7" ht="15.6" x14ac:dyDescent="0.45">
      <c r="A309" s="16" t="s">
        <v>346</v>
      </c>
      <c r="B309" s="16" t="s">
        <v>21</v>
      </c>
      <c r="C309" s="16" t="s">
        <v>22</v>
      </c>
      <c r="D309" s="16" t="s">
        <v>320</v>
      </c>
      <c r="E309" s="17">
        <v>47.365900000000003</v>
      </c>
      <c r="F309" s="17">
        <v>-122.0368</v>
      </c>
      <c r="G309" s="23" t="str">
        <f>MakeLocationsCode(E309,F309)</f>
        <v>E7LC-SJNC</v>
      </c>
    </row>
    <row r="310" spans="1:7" ht="15.6" x14ac:dyDescent="0.45">
      <c r="A310" s="16" t="s">
        <v>347</v>
      </c>
      <c r="B310" s="16" t="s">
        <v>21</v>
      </c>
      <c r="C310" s="16" t="s">
        <v>22</v>
      </c>
      <c r="D310" s="16" t="s">
        <v>320</v>
      </c>
      <c r="E310" s="17">
        <v>47.401699999999998</v>
      </c>
      <c r="F310" s="17">
        <v>-122.0763</v>
      </c>
      <c r="G310" s="23" t="str">
        <f>MakeLocationsCode(E310,F310)</f>
        <v>E7LC-WFG5</v>
      </c>
    </row>
    <row r="311" spans="1:7" ht="15.6" x14ac:dyDescent="0.45">
      <c r="A311" s="16" t="s">
        <v>348</v>
      </c>
      <c r="B311" s="16" t="s">
        <v>21</v>
      </c>
      <c r="C311" s="16" t="s">
        <v>22</v>
      </c>
      <c r="D311" s="16" t="s">
        <v>320</v>
      </c>
      <c r="E311" s="17">
        <v>47.411999999999999</v>
      </c>
      <c r="F311" s="17">
        <v>-121.996</v>
      </c>
      <c r="G311" s="23" t="str">
        <f>MakeLocationsCode(E311,F311)</f>
        <v>E7LC-XNJM</v>
      </c>
    </row>
    <row r="312" spans="1:7" ht="15.6" x14ac:dyDescent="0.45">
      <c r="A312" s="16" t="s">
        <v>349</v>
      </c>
      <c r="B312" s="16" t="s">
        <v>21</v>
      </c>
      <c r="C312" s="16" t="s">
        <v>22</v>
      </c>
      <c r="D312" s="16" t="s">
        <v>151</v>
      </c>
      <c r="E312" s="17">
        <v>47.146500000000003</v>
      </c>
      <c r="F312" s="17">
        <v>-121.63200000000001</v>
      </c>
      <c r="G312" s="23" t="str">
        <f>MakeLocationsCode(E312,F312)</f>
        <v>E7LD-5SF7</v>
      </c>
    </row>
    <row r="313" spans="1:7" ht="15.6" x14ac:dyDescent="0.45">
      <c r="A313" s="16" t="s">
        <v>350</v>
      </c>
      <c r="B313" s="16" t="s">
        <v>21</v>
      </c>
      <c r="C313" s="16" t="s">
        <v>22</v>
      </c>
      <c r="D313" s="16" t="s">
        <v>243</v>
      </c>
      <c r="E313" s="17">
        <v>47.401400000000002</v>
      </c>
      <c r="F313" s="17">
        <v>-121.411</v>
      </c>
      <c r="G313" s="23" t="str">
        <f>MakeLocationsCode(E313,F313)</f>
        <v>E7LE-WHFK</v>
      </c>
    </row>
    <row r="314" spans="1:7" ht="15.6" x14ac:dyDescent="0.45">
      <c r="A314" s="16" t="s">
        <v>351</v>
      </c>
      <c r="B314" s="16" t="s">
        <v>21</v>
      </c>
      <c r="C314" s="16" t="s">
        <v>22</v>
      </c>
      <c r="D314" s="16" t="s">
        <v>243</v>
      </c>
      <c r="E314" s="17">
        <v>47.186199999999999</v>
      </c>
      <c r="F314" s="17">
        <v>-120.9526</v>
      </c>
      <c r="G314" s="23" t="str">
        <f>MakeLocationsCode(E314,F314)</f>
        <v>E7LF-9WM5</v>
      </c>
    </row>
    <row r="315" spans="1:7" ht="15.6" x14ac:dyDescent="0.45">
      <c r="A315" s="16" t="s">
        <v>352</v>
      </c>
      <c r="B315" s="16" t="s">
        <v>21</v>
      </c>
      <c r="C315" s="16" t="s">
        <v>22</v>
      </c>
      <c r="D315" s="16" t="s">
        <v>243</v>
      </c>
      <c r="E315" s="17">
        <v>47.194299999999998</v>
      </c>
      <c r="F315" s="17">
        <v>-120.9539</v>
      </c>
      <c r="G315" s="23" t="str">
        <f>MakeLocationsCode(E315,F315)</f>
        <v>E7LF-AVHY</v>
      </c>
    </row>
    <row r="316" spans="1:7" ht="15.6" x14ac:dyDescent="0.45">
      <c r="A316" s="16" t="s">
        <v>353</v>
      </c>
      <c r="B316" s="16" t="s">
        <v>21</v>
      </c>
      <c r="C316" s="16" t="s">
        <v>22</v>
      </c>
      <c r="D316" s="16" t="s">
        <v>243</v>
      </c>
      <c r="E316" s="17">
        <v>47.233800000000002</v>
      </c>
      <c r="F316" s="17">
        <v>-121.03360000000001</v>
      </c>
      <c r="G316" s="23" t="str">
        <f>MakeLocationsCode(E316,F316)</f>
        <v>E7LF-ENOJ</v>
      </c>
    </row>
    <row r="317" spans="1:7" ht="15.6" x14ac:dyDescent="0.45">
      <c r="A317" s="16" t="s">
        <v>354</v>
      </c>
      <c r="B317" s="16" t="s">
        <v>21</v>
      </c>
      <c r="C317" s="16" t="s">
        <v>22</v>
      </c>
      <c r="D317" s="16" t="s">
        <v>243</v>
      </c>
      <c r="E317" s="17">
        <v>47.240499999999997</v>
      </c>
      <c r="F317" s="17">
        <v>-121.1733</v>
      </c>
      <c r="G317" s="23" t="str">
        <f>MakeLocationsCode(E317,F317)</f>
        <v>E7LF-F8EQ</v>
      </c>
    </row>
    <row r="318" spans="1:7" ht="15.6" x14ac:dyDescent="0.45">
      <c r="A318" s="16" t="s">
        <v>355</v>
      </c>
      <c r="B318" s="16" t="s">
        <v>21</v>
      </c>
      <c r="C318" s="16" t="s">
        <v>22</v>
      </c>
      <c r="D318" s="16" t="s">
        <v>243</v>
      </c>
      <c r="E318" s="17">
        <v>47.251100000000001</v>
      </c>
      <c r="F318" s="17">
        <v>-121.099</v>
      </c>
      <c r="G318" s="23" t="str">
        <f>MakeLocationsCode(E318,F318)</f>
        <v>E7LF-GGIM</v>
      </c>
    </row>
    <row r="319" spans="1:7" ht="15.6" x14ac:dyDescent="0.45">
      <c r="A319" s="16" t="s">
        <v>356</v>
      </c>
      <c r="B319" s="16" t="s">
        <v>21</v>
      </c>
      <c r="C319" s="16" t="s">
        <v>22</v>
      </c>
      <c r="D319" s="16" t="s">
        <v>357</v>
      </c>
      <c r="E319" s="17">
        <v>47.388500000000001</v>
      </c>
      <c r="F319" s="17">
        <v>-120.2829</v>
      </c>
      <c r="G319" s="23" t="str">
        <f>MakeLocationsCode(E319,F319)</f>
        <v>E7LH-VZ32</v>
      </c>
    </row>
    <row r="320" spans="1:7" ht="15.6" x14ac:dyDescent="0.45">
      <c r="A320" s="16" t="s">
        <v>358</v>
      </c>
      <c r="B320" s="16" t="s">
        <v>21</v>
      </c>
      <c r="C320" s="16" t="s">
        <v>22</v>
      </c>
      <c r="D320" s="16" t="s">
        <v>359</v>
      </c>
      <c r="E320" s="17">
        <v>47.417400000000001</v>
      </c>
      <c r="F320" s="17">
        <v>-120.2822</v>
      </c>
      <c r="G320" s="23" t="str">
        <f>MakeLocationsCode(E320,F320)</f>
        <v>E7LH-YZ54</v>
      </c>
    </row>
    <row r="321" spans="1:7" ht="15.6" x14ac:dyDescent="0.45">
      <c r="A321" s="16" t="s">
        <v>360</v>
      </c>
      <c r="B321" s="16" t="s">
        <v>21</v>
      </c>
      <c r="C321" s="16" t="s">
        <v>22</v>
      </c>
      <c r="D321" s="16" t="s">
        <v>170</v>
      </c>
      <c r="E321" s="17">
        <v>47.210999999999999</v>
      </c>
      <c r="F321" s="17">
        <v>-119.99590000000001</v>
      </c>
      <c r="G321" s="23" t="str">
        <f>MakeLocationsCode(E321,F321)</f>
        <v>E7LI-CVAF</v>
      </c>
    </row>
    <row r="322" spans="1:7" ht="15.6" x14ac:dyDescent="0.45">
      <c r="A322" s="16" t="s">
        <v>361</v>
      </c>
      <c r="B322" s="16" t="s">
        <v>21</v>
      </c>
      <c r="C322" s="16" t="s">
        <v>22</v>
      </c>
      <c r="D322" s="16" t="s">
        <v>359</v>
      </c>
      <c r="E322" s="17">
        <v>47.3733</v>
      </c>
      <c r="F322" s="17">
        <v>-120.142</v>
      </c>
      <c r="G322" s="23" t="str">
        <f>MakeLocationsCode(E322,F322)</f>
        <v>E7LI-TFGX</v>
      </c>
    </row>
    <row r="323" spans="1:7" ht="15.6" x14ac:dyDescent="0.45">
      <c r="A323" s="16" t="s">
        <v>362</v>
      </c>
      <c r="B323" s="16" t="s">
        <v>21</v>
      </c>
      <c r="C323" s="16" t="s">
        <v>22</v>
      </c>
      <c r="D323" s="16" t="s">
        <v>170</v>
      </c>
      <c r="E323" s="17">
        <v>47.234400000000001</v>
      </c>
      <c r="F323" s="17">
        <v>-119.85299999999999</v>
      </c>
      <c r="G323" s="23" t="str">
        <f>MakeLocationsCode(E323,F323)</f>
        <v>E7LJ-ECQJ</v>
      </c>
    </row>
    <row r="324" spans="1:7" ht="15.6" x14ac:dyDescent="0.45">
      <c r="A324" s="16" t="s">
        <v>363</v>
      </c>
      <c r="B324" s="16" t="s">
        <v>21</v>
      </c>
      <c r="C324" s="16" t="s">
        <v>22</v>
      </c>
      <c r="D324" s="16" t="s">
        <v>170</v>
      </c>
      <c r="E324" s="17">
        <v>47.1417</v>
      </c>
      <c r="F324" s="17">
        <v>-119.32599999999999</v>
      </c>
      <c r="G324" s="23" t="str">
        <f>MakeLocationsCode(E324,F324)</f>
        <v>E7LK-4YWC</v>
      </c>
    </row>
    <row r="325" spans="1:7" ht="15.6" x14ac:dyDescent="0.45">
      <c r="A325" s="16" t="s">
        <v>364</v>
      </c>
      <c r="B325" s="16" t="s">
        <v>21</v>
      </c>
      <c r="C325" s="16" t="s">
        <v>22</v>
      </c>
      <c r="D325" s="16" t="s">
        <v>170</v>
      </c>
      <c r="E325" s="17">
        <v>47.194899999999997</v>
      </c>
      <c r="F325" s="17">
        <v>-119.31780000000001</v>
      </c>
      <c r="G325" s="23" t="str">
        <f>MakeLocationsCode(E325,F325)</f>
        <v>E7LK-AZK8</v>
      </c>
    </row>
    <row r="326" spans="1:7" ht="15.6" x14ac:dyDescent="0.45">
      <c r="A326" s="16" t="s">
        <v>365</v>
      </c>
      <c r="B326" s="16" t="s">
        <v>21</v>
      </c>
      <c r="C326" s="16" t="s">
        <v>22</v>
      </c>
      <c r="D326" s="16" t="s">
        <v>170</v>
      </c>
      <c r="E326" s="17">
        <v>47.312199999999997</v>
      </c>
      <c r="F326" s="17">
        <v>-119.5341</v>
      </c>
      <c r="G326" s="23" t="str">
        <f>MakeLocationsCode(E326,F326)</f>
        <v>E7LK-MCYB</v>
      </c>
    </row>
    <row r="327" spans="1:7" ht="15.6" x14ac:dyDescent="0.45">
      <c r="A327" s="16" t="s">
        <v>366</v>
      </c>
      <c r="B327" s="16" t="s">
        <v>21</v>
      </c>
      <c r="C327" s="16" t="s">
        <v>22</v>
      </c>
      <c r="D327" s="16" t="s">
        <v>170</v>
      </c>
      <c r="E327" s="17">
        <v>47.375500000000002</v>
      </c>
      <c r="F327" s="17">
        <v>-119.5044</v>
      </c>
      <c r="G327" s="23" t="str">
        <f>MakeLocationsCode(E327,F327)</f>
        <v>E7LK-TFOG</v>
      </c>
    </row>
    <row r="328" spans="1:7" ht="15.6" x14ac:dyDescent="0.45">
      <c r="A328" s="16" t="s">
        <v>367</v>
      </c>
      <c r="B328" s="16" t="s">
        <v>21</v>
      </c>
      <c r="C328" s="16" t="s">
        <v>22</v>
      </c>
      <c r="D328" s="16" t="s">
        <v>170</v>
      </c>
      <c r="E328" s="17">
        <v>47.391399999999997</v>
      </c>
      <c r="F328" s="17">
        <v>-119.4893</v>
      </c>
      <c r="G328" s="23" t="str">
        <f>MakeLocationsCode(E328,F328)</f>
        <v>E7LK-VHD3</v>
      </c>
    </row>
    <row r="329" spans="1:7" ht="15.6" x14ac:dyDescent="0.45">
      <c r="A329" s="16" t="s">
        <v>368</v>
      </c>
      <c r="B329" s="16" t="s">
        <v>21</v>
      </c>
      <c r="C329" s="16" t="s">
        <v>22</v>
      </c>
      <c r="D329" s="16" t="s">
        <v>170</v>
      </c>
      <c r="E329" s="17">
        <v>47.127899999999997</v>
      </c>
      <c r="F329" s="17">
        <v>-119.27589999999999</v>
      </c>
      <c r="G329" s="23" t="str">
        <f>MakeLocationsCode(E329,F329)</f>
        <v>E7LL-35GN</v>
      </c>
    </row>
    <row r="330" spans="1:7" ht="15.6" x14ac:dyDescent="0.45">
      <c r="A330" s="16" t="s">
        <v>369</v>
      </c>
      <c r="B330" s="16" t="s">
        <v>21</v>
      </c>
      <c r="C330" s="16" t="s">
        <v>22</v>
      </c>
      <c r="D330" s="16" t="s">
        <v>170</v>
      </c>
      <c r="E330" s="17">
        <v>47.134900000000002</v>
      </c>
      <c r="F330" s="17">
        <v>-119.176</v>
      </c>
      <c r="G330" s="23" t="str">
        <f>MakeLocationsCode(E330,F330)</f>
        <v>E7LL-4G88</v>
      </c>
    </row>
    <row r="331" spans="1:7" ht="15.6" x14ac:dyDescent="0.45">
      <c r="A331" s="16" t="s">
        <v>370</v>
      </c>
      <c r="B331" s="16" t="s">
        <v>21</v>
      </c>
      <c r="C331" s="16" t="s">
        <v>22</v>
      </c>
      <c r="D331" s="16" t="s">
        <v>170</v>
      </c>
      <c r="E331" s="17">
        <v>47.423000000000002</v>
      </c>
      <c r="F331" s="17">
        <v>-119.1176</v>
      </c>
      <c r="G331" s="23" t="str">
        <f>MakeLocationsCode(E331,F331)</f>
        <v>E7LL-YMPF</v>
      </c>
    </row>
    <row r="332" spans="1:7" ht="15.6" x14ac:dyDescent="0.45">
      <c r="A332" s="16" t="s">
        <v>371</v>
      </c>
      <c r="B332" s="16" t="s">
        <v>21</v>
      </c>
      <c r="C332" s="16" t="s">
        <v>22</v>
      </c>
      <c r="D332" s="16" t="s">
        <v>372</v>
      </c>
      <c r="E332" s="17">
        <v>47.332599999999999</v>
      </c>
      <c r="F332" s="17">
        <v>-118.68940000000001</v>
      </c>
      <c r="G332" s="23" t="str">
        <f>MakeLocationsCode(E332,F332)</f>
        <v>E7LM-PX5Q</v>
      </c>
    </row>
    <row r="333" spans="1:7" ht="15.6" x14ac:dyDescent="0.45">
      <c r="A333" s="16" t="s">
        <v>373</v>
      </c>
      <c r="B333" s="16" t="s">
        <v>21</v>
      </c>
      <c r="C333" s="16" t="s">
        <v>22</v>
      </c>
      <c r="D333" s="16" t="s">
        <v>170</v>
      </c>
      <c r="E333" s="17">
        <v>47.410499999999999</v>
      </c>
      <c r="F333" s="17">
        <v>-118.98869999999999</v>
      </c>
      <c r="G333" s="23" t="str">
        <f>MakeLocationsCode(E333,F333)</f>
        <v>E7LM-X2E3</v>
      </c>
    </row>
    <row r="334" spans="1:7" ht="15.6" x14ac:dyDescent="0.45">
      <c r="A334" s="16" t="s">
        <v>374</v>
      </c>
      <c r="B334" s="16" t="s">
        <v>21</v>
      </c>
      <c r="C334" s="16" t="s">
        <v>22</v>
      </c>
      <c r="D334" s="16" t="s">
        <v>176</v>
      </c>
      <c r="E334" s="17">
        <v>47.125300000000003</v>
      </c>
      <c r="F334" s="17">
        <v>-118.3809</v>
      </c>
      <c r="G334" s="23" t="str">
        <f>MakeLocationsCode(E334,F334)</f>
        <v>E7LN-3W7F</v>
      </c>
    </row>
    <row r="335" spans="1:7" ht="15.6" x14ac:dyDescent="0.45">
      <c r="A335" s="16" t="s">
        <v>375</v>
      </c>
      <c r="B335" s="16" t="s">
        <v>21</v>
      </c>
      <c r="C335" s="16" t="s">
        <v>22</v>
      </c>
      <c r="D335" s="16" t="s">
        <v>184</v>
      </c>
      <c r="E335" s="17">
        <v>47.200699999999998</v>
      </c>
      <c r="F335" s="17">
        <v>-117.9049</v>
      </c>
      <c r="G335" s="23" t="str">
        <f>MakeLocationsCode(E335,F335)</f>
        <v>E7LP-BE7S</v>
      </c>
    </row>
    <row r="336" spans="1:7" ht="15.6" x14ac:dyDescent="0.45">
      <c r="A336" s="16" t="s">
        <v>376</v>
      </c>
      <c r="B336" s="16" t="s">
        <v>21</v>
      </c>
      <c r="C336" s="16" t="s">
        <v>22</v>
      </c>
      <c r="D336" s="16" t="s">
        <v>372</v>
      </c>
      <c r="E336" s="17">
        <v>47.3048</v>
      </c>
      <c r="F336" s="17">
        <v>-117.9714</v>
      </c>
      <c r="G336" s="23" t="str">
        <f>MakeLocationsCode(E336,F336)</f>
        <v>E7LP-M77R</v>
      </c>
    </row>
    <row r="337" spans="1:7" ht="15.6" x14ac:dyDescent="0.45">
      <c r="A337" s="16" t="s">
        <v>377</v>
      </c>
      <c r="B337" s="16" t="s">
        <v>21</v>
      </c>
      <c r="C337" s="16" t="s">
        <v>22</v>
      </c>
      <c r="D337" s="16" t="s">
        <v>184</v>
      </c>
      <c r="E337" s="17">
        <v>47.229599999999998</v>
      </c>
      <c r="F337" s="17">
        <v>-117.4731</v>
      </c>
      <c r="G337" s="23" t="str">
        <f>MakeLocationsCode(E337,F337)</f>
        <v>E7LQ-EQ9J</v>
      </c>
    </row>
    <row r="338" spans="1:7" ht="15.6" x14ac:dyDescent="0.45">
      <c r="A338" s="16" t="s">
        <v>378</v>
      </c>
      <c r="B338" s="16" t="s">
        <v>21</v>
      </c>
      <c r="C338" s="16" t="s">
        <v>22</v>
      </c>
      <c r="D338" s="16" t="s">
        <v>184</v>
      </c>
      <c r="E338" s="17">
        <v>47.130499999999998</v>
      </c>
      <c r="F338" s="17">
        <v>-117.24639999999999</v>
      </c>
      <c r="G338" s="23" t="str">
        <f>MakeLocationsCode(E338,F338)</f>
        <v>E7LR-3GQJ</v>
      </c>
    </row>
    <row r="339" spans="1:7" ht="15.6" x14ac:dyDescent="0.45">
      <c r="A339" s="16" t="s">
        <v>379</v>
      </c>
      <c r="B339" s="16" t="s">
        <v>21</v>
      </c>
      <c r="C339" s="16" t="s">
        <v>22</v>
      </c>
      <c r="D339" s="16" t="s">
        <v>184</v>
      </c>
      <c r="E339" s="17">
        <v>47.224800000000002</v>
      </c>
      <c r="F339" s="17">
        <v>-117.0731</v>
      </c>
      <c r="G339" s="23" t="str">
        <f>MakeLocationsCode(E339,F339)</f>
        <v>E7LR-DYPV</v>
      </c>
    </row>
    <row r="340" spans="1:7" ht="15.6" x14ac:dyDescent="0.45">
      <c r="A340" s="16" t="s">
        <v>380</v>
      </c>
      <c r="B340" s="16" t="s">
        <v>21</v>
      </c>
      <c r="C340" s="16" t="s">
        <v>22</v>
      </c>
      <c r="D340" s="16" t="s">
        <v>184</v>
      </c>
      <c r="E340" s="17">
        <v>47.2363</v>
      </c>
      <c r="F340" s="17">
        <v>-117.3764</v>
      </c>
      <c r="G340" s="23" t="str">
        <f>MakeLocationsCode(E340,F340)</f>
        <v>E7LR-E2XR</v>
      </c>
    </row>
    <row r="341" spans="1:7" ht="15.6" x14ac:dyDescent="0.45">
      <c r="A341" s="16" t="s">
        <v>381</v>
      </c>
      <c r="B341" s="16" t="s">
        <v>21</v>
      </c>
      <c r="C341" s="16" t="s">
        <v>22</v>
      </c>
      <c r="D341" s="16" t="s">
        <v>382</v>
      </c>
      <c r="E341" s="17">
        <v>47.282200000000003</v>
      </c>
      <c r="F341" s="17">
        <v>-117.1557</v>
      </c>
      <c r="G341" s="23" t="str">
        <f>MakeLocationsCode(E341,F341)</f>
        <v>E7LR-JQS5</v>
      </c>
    </row>
    <row r="342" spans="1:7" ht="15.6" x14ac:dyDescent="0.45">
      <c r="A342" s="16" t="s">
        <v>383</v>
      </c>
      <c r="B342" s="16" t="s">
        <v>21</v>
      </c>
      <c r="C342" s="16" t="s">
        <v>22</v>
      </c>
      <c r="D342" s="16" t="s">
        <v>382</v>
      </c>
      <c r="E342" s="17">
        <v>47.338000000000001</v>
      </c>
      <c r="F342" s="17">
        <v>-117.2312</v>
      </c>
      <c r="G342" s="23" t="str">
        <f>MakeLocationsCode(E342,F342)</f>
        <v>E7LR-PIP6</v>
      </c>
    </row>
    <row r="343" spans="1:7" ht="15.6" x14ac:dyDescent="0.45">
      <c r="A343" s="16" t="s">
        <v>384</v>
      </c>
      <c r="B343" s="16" t="s">
        <v>21</v>
      </c>
      <c r="C343" s="16" t="s">
        <v>22</v>
      </c>
      <c r="D343" s="16" t="s">
        <v>382</v>
      </c>
      <c r="E343" s="17">
        <v>47.384799999999998</v>
      </c>
      <c r="F343" s="17">
        <v>-117.1748</v>
      </c>
      <c r="G343" s="23" t="str">
        <f>MakeLocationsCode(E343,F343)</f>
        <v>E7LR-UON5</v>
      </c>
    </row>
    <row r="344" spans="1:7" ht="15.6" x14ac:dyDescent="0.45">
      <c r="A344" s="16" t="s">
        <v>385</v>
      </c>
      <c r="B344" s="16" t="s">
        <v>21</v>
      </c>
      <c r="C344" s="16" t="s">
        <v>22</v>
      </c>
      <c r="D344" s="16" t="s">
        <v>382</v>
      </c>
      <c r="E344" s="17">
        <v>47.429900000000004</v>
      </c>
      <c r="F344" s="17">
        <v>-117.38120000000001</v>
      </c>
      <c r="G344" s="23" t="str">
        <f>MakeLocationsCode(E344,F344)</f>
        <v>E7LR-Z2GA</v>
      </c>
    </row>
    <row r="345" spans="1:7" ht="15.6" x14ac:dyDescent="0.45">
      <c r="A345" s="16" t="s">
        <v>386</v>
      </c>
      <c r="B345" s="16" t="s">
        <v>21</v>
      </c>
      <c r="C345" s="16" t="s">
        <v>22</v>
      </c>
      <c r="D345" s="16" t="s">
        <v>189</v>
      </c>
      <c r="E345" s="17">
        <v>47.531399999999998</v>
      </c>
      <c r="F345" s="17">
        <v>-124.3385</v>
      </c>
      <c r="G345" s="23" t="str">
        <f>MakeLocationsCode(E345,F345)</f>
        <v>E7M5-CD7L</v>
      </c>
    </row>
    <row r="346" spans="1:7" ht="15.6" x14ac:dyDescent="0.45">
      <c r="A346" s="16" t="s">
        <v>387</v>
      </c>
      <c r="B346" s="16" t="s">
        <v>21</v>
      </c>
      <c r="C346" s="16" t="s">
        <v>22</v>
      </c>
      <c r="D346" s="16" t="s">
        <v>189</v>
      </c>
      <c r="E346" s="17">
        <v>47.453200000000002</v>
      </c>
      <c r="F346" s="17">
        <v>-123.9194</v>
      </c>
      <c r="G346" s="23" t="str">
        <f>MakeLocationsCode(E346,F346)</f>
        <v>E7M6-3NWY</v>
      </c>
    </row>
    <row r="347" spans="1:7" ht="15.6" x14ac:dyDescent="0.45">
      <c r="A347" s="16" t="s">
        <v>388</v>
      </c>
      <c r="B347" s="16" t="s">
        <v>21</v>
      </c>
      <c r="C347" s="16" t="s">
        <v>22</v>
      </c>
      <c r="D347" s="16" t="s">
        <v>271</v>
      </c>
      <c r="E347" s="17">
        <v>47.4495</v>
      </c>
      <c r="F347" s="17">
        <v>-122.84869999999999</v>
      </c>
      <c r="G347" s="23" t="str">
        <f>MakeLocationsCode(E347,F347)</f>
        <v>E7M9-3ZID</v>
      </c>
    </row>
    <row r="348" spans="1:7" ht="15.6" x14ac:dyDescent="0.45">
      <c r="A348" s="16" t="s">
        <v>389</v>
      </c>
      <c r="B348" s="16" t="s">
        <v>21</v>
      </c>
      <c r="C348" s="16" t="s">
        <v>22</v>
      </c>
      <c r="D348" s="16" t="s">
        <v>390</v>
      </c>
      <c r="E348" s="17">
        <v>47.668900000000001</v>
      </c>
      <c r="F348" s="17">
        <v>-122.9248</v>
      </c>
      <c r="G348" s="23" t="str">
        <f>MakeLocationsCode(E348,F348)</f>
        <v>E7M9-QRQB</v>
      </c>
    </row>
    <row r="349" spans="1:7" ht="15.6" x14ac:dyDescent="0.45">
      <c r="A349" s="16" t="s">
        <v>391</v>
      </c>
      <c r="B349" s="16" t="s">
        <v>21</v>
      </c>
      <c r="C349" s="16" t="s">
        <v>22</v>
      </c>
      <c r="D349" s="16" t="s">
        <v>300</v>
      </c>
      <c r="E349" s="17">
        <v>47.487400000000001</v>
      </c>
      <c r="F349" s="17">
        <v>-122.61750000000001</v>
      </c>
      <c r="G349" s="23" t="str">
        <f>MakeLocationsCode(E349,F349)</f>
        <v>E7MA-7PJT</v>
      </c>
    </row>
    <row r="350" spans="1:7" ht="15.6" x14ac:dyDescent="0.45">
      <c r="A350" s="16" t="s">
        <v>392</v>
      </c>
      <c r="B350" s="16" t="s">
        <v>21</v>
      </c>
      <c r="C350" s="16" t="s">
        <v>22</v>
      </c>
      <c r="D350" s="16" t="s">
        <v>300</v>
      </c>
      <c r="E350" s="17">
        <v>47.516300000000001</v>
      </c>
      <c r="F350" s="17">
        <v>-122.661</v>
      </c>
      <c r="G350" s="23" t="str">
        <f>MakeLocationsCode(E350,F350)</f>
        <v>E7MA-ALL8</v>
      </c>
    </row>
    <row r="351" spans="1:7" ht="15.6" x14ac:dyDescent="0.45">
      <c r="A351" s="16" t="s">
        <v>393</v>
      </c>
      <c r="B351" s="16" t="s">
        <v>21</v>
      </c>
      <c r="C351" s="16" t="s">
        <v>22</v>
      </c>
      <c r="D351" s="16" t="s">
        <v>300</v>
      </c>
      <c r="E351" s="17">
        <v>47.519399999999997</v>
      </c>
      <c r="F351" s="17">
        <v>-122.6183</v>
      </c>
      <c r="G351" s="23" t="str">
        <f>MakeLocationsCode(E351,F351)</f>
        <v>E7MA-APWQ</v>
      </c>
    </row>
    <row r="352" spans="1:7" ht="15.6" x14ac:dyDescent="0.45">
      <c r="A352" s="16" t="s">
        <v>394</v>
      </c>
      <c r="B352" s="16" t="s">
        <v>21</v>
      </c>
      <c r="C352" s="16" t="s">
        <v>22</v>
      </c>
      <c r="D352" s="16" t="s">
        <v>300</v>
      </c>
      <c r="E352" s="17">
        <v>47.512500000000003</v>
      </c>
      <c r="F352" s="17">
        <v>-122.52979999999999</v>
      </c>
      <c r="G352" s="23" t="str">
        <f>MakeLocationsCode(E352,F352)</f>
        <v>E7MA-AZ75</v>
      </c>
    </row>
    <row r="353" spans="1:7" ht="15.6" x14ac:dyDescent="0.45">
      <c r="A353" s="16" t="s">
        <v>395</v>
      </c>
      <c r="B353" s="16" t="s">
        <v>21</v>
      </c>
      <c r="C353" s="16" t="s">
        <v>22</v>
      </c>
      <c r="D353" s="16" t="s">
        <v>300</v>
      </c>
      <c r="E353" s="17">
        <v>47.523899999999998</v>
      </c>
      <c r="F353" s="17">
        <v>-122.70529999999999</v>
      </c>
      <c r="G353" s="23" t="str">
        <f>MakeLocationsCode(E353,F353)</f>
        <v>E7MA-BGEJ</v>
      </c>
    </row>
    <row r="354" spans="1:7" ht="15.6" x14ac:dyDescent="0.45">
      <c r="A354" s="16" t="s">
        <v>396</v>
      </c>
      <c r="B354" s="16" t="s">
        <v>21</v>
      </c>
      <c r="C354" s="16" t="s">
        <v>22</v>
      </c>
      <c r="D354" s="16" t="s">
        <v>300</v>
      </c>
      <c r="E354" s="17">
        <v>47.526600000000002</v>
      </c>
      <c r="F354" s="17">
        <v>-122.5986</v>
      </c>
      <c r="G354" s="23" t="str">
        <f>MakeLocationsCode(E354,F354)</f>
        <v>E7MA-BROT</v>
      </c>
    </row>
    <row r="355" spans="1:7" ht="15.6" x14ac:dyDescent="0.45">
      <c r="A355" s="16" t="s">
        <v>397</v>
      </c>
      <c r="B355" s="16" t="s">
        <v>21</v>
      </c>
      <c r="C355" s="16" t="s">
        <v>22</v>
      </c>
      <c r="D355" s="16" t="s">
        <v>300</v>
      </c>
      <c r="E355" s="17">
        <v>47.543599999999998</v>
      </c>
      <c r="F355" s="17">
        <v>-122.71210000000001</v>
      </c>
      <c r="G355" s="23" t="str">
        <f>MakeLocationsCode(E355,F355)</f>
        <v>E7MA-DFHS</v>
      </c>
    </row>
    <row r="356" spans="1:7" ht="15.6" x14ac:dyDescent="0.45">
      <c r="A356" s="16" t="s">
        <v>398</v>
      </c>
      <c r="B356" s="16" t="s">
        <v>21</v>
      </c>
      <c r="C356" s="16" t="s">
        <v>22</v>
      </c>
      <c r="D356" s="16" t="s">
        <v>300</v>
      </c>
      <c r="E356" s="17">
        <v>47.550800000000002</v>
      </c>
      <c r="F356" s="17">
        <v>-122.66549999999999</v>
      </c>
      <c r="G356" s="23" t="str">
        <f>MakeLocationsCode(E356,F356)</f>
        <v>E7MA-EK9Q</v>
      </c>
    </row>
    <row r="357" spans="1:7" ht="15.6" x14ac:dyDescent="0.45">
      <c r="A357" s="16" t="s">
        <v>399</v>
      </c>
      <c r="B357" s="16" t="s">
        <v>21</v>
      </c>
      <c r="C357" s="16" t="s">
        <v>22</v>
      </c>
      <c r="D357" s="16" t="s">
        <v>300</v>
      </c>
      <c r="E357" s="17">
        <v>47.551900000000003</v>
      </c>
      <c r="F357" s="17">
        <v>-122.5517</v>
      </c>
      <c r="G357" s="23" t="str">
        <f>MakeLocationsCode(E357,F357)</f>
        <v>E7MA-EWDS</v>
      </c>
    </row>
    <row r="358" spans="1:7" ht="15.6" x14ac:dyDescent="0.45">
      <c r="A358" s="16" t="s">
        <v>400</v>
      </c>
      <c r="B358" s="16" t="s">
        <v>21</v>
      </c>
      <c r="C358" s="16" t="s">
        <v>22</v>
      </c>
      <c r="D358" s="16" t="s">
        <v>300</v>
      </c>
      <c r="E358" s="17">
        <v>47.590499999999999</v>
      </c>
      <c r="F358" s="17">
        <v>-122.7088</v>
      </c>
      <c r="G358" s="23" t="str">
        <f>MakeLocationsCode(E358,F358)</f>
        <v>E7MA-IGG6</v>
      </c>
    </row>
    <row r="359" spans="1:7" ht="15.6" x14ac:dyDescent="0.45">
      <c r="A359" s="16" t="s">
        <v>401</v>
      </c>
      <c r="B359" s="16" t="s">
        <v>21</v>
      </c>
      <c r="C359" s="16" t="s">
        <v>22</v>
      </c>
      <c r="D359" s="16" t="s">
        <v>300</v>
      </c>
      <c r="E359" s="17">
        <v>47.5886</v>
      </c>
      <c r="F359" s="17">
        <v>-122.6673</v>
      </c>
      <c r="G359" s="23" t="str">
        <f>MakeLocationsCode(E359,F359)</f>
        <v>E7MA-IK9K</v>
      </c>
    </row>
    <row r="360" spans="1:7" ht="15.6" x14ac:dyDescent="0.45">
      <c r="A360" s="16" t="s">
        <v>402</v>
      </c>
      <c r="B360" s="16" t="s">
        <v>21</v>
      </c>
      <c r="C360" s="16" t="s">
        <v>22</v>
      </c>
      <c r="D360" s="16" t="s">
        <v>300</v>
      </c>
      <c r="E360" s="17">
        <v>47.588500000000003</v>
      </c>
      <c r="F360" s="17">
        <v>-122.6054</v>
      </c>
      <c r="G360" s="23" t="str">
        <f>MakeLocationsCode(E360,F360)</f>
        <v>E7MA-IR95</v>
      </c>
    </row>
    <row r="361" spans="1:7" ht="15.6" x14ac:dyDescent="0.45">
      <c r="A361" s="16" t="s">
        <v>403</v>
      </c>
      <c r="B361" s="16" t="s">
        <v>21</v>
      </c>
      <c r="C361" s="16" t="s">
        <v>22</v>
      </c>
      <c r="D361" s="16" t="s">
        <v>300</v>
      </c>
      <c r="E361" s="17">
        <v>47.6038</v>
      </c>
      <c r="F361" s="17">
        <v>-122.694</v>
      </c>
      <c r="G361" s="23" t="str">
        <f>MakeLocationsCode(E361,F361)</f>
        <v>E7MA-JHUQ</v>
      </c>
    </row>
    <row r="362" spans="1:7" ht="15.6" x14ac:dyDescent="0.45">
      <c r="A362" s="16" t="s">
        <v>404</v>
      </c>
      <c r="B362" s="16" t="s">
        <v>21</v>
      </c>
      <c r="C362" s="16" t="s">
        <v>22</v>
      </c>
      <c r="D362" s="16" t="s">
        <v>300</v>
      </c>
      <c r="E362" s="17">
        <v>47.609400000000001</v>
      </c>
      <c r="F362" s="17">
        <v>-122.6533</v>
      </c>
      <c r="G362" s="23" t="str">
        <f>MakeLocationsCode(E362,F362)</f>
        <v>E7MA-KMG2</v>
      </c>
    </row>
    <row r="363" spans="1:7" ht="15.6" x14ac:dyDescent="0.45">
      <c r="A363" s="16" t="s">
        <v>405</v>
      </c>
      <c r="B363" s="16" t="s">
        <v>21</v>
      </c>
      <c r="C363" s="16" t="s">
        <v>22</v>
      </c>
      <c r="D363" s="16" t="s">
        <v>300</v>
      </c>
      <c r="E363" s="17">
        <v>47.622599999999998</v>
      </c>
      <c r="F363" s="17">
        <v>-122.7193</v>
      </c>
      <c r="G363" s="23" t="str">
        <f>MakeLocationsCode(E363,F363)</f>
        <v>E7MA-LFT3</v>
      </c>
    </row>
    <row r="364" spans="1:7" ht="15.6" x14ac:dyDescent="0.45">
      <c r="A364" s="16" t="s">
        <v>406</v>
      </c>
      <c r="B364" s="16" t="s">
        <v>21</v>
      </c>
      <c r="C364" s="16" t="s">
        <v>22</v>
      </c>
      <c r="D364" s="16" t="s">
        <v>300</v>
      </c>
      <c r="E364" s="17">
        <v>47.643599999999999</v>
      </c>
      <c r="F364" s="17">
        <v>-122.8222</v>
      </c>
      <c r="G364" s="23" t="str">
        <f>MakeLocationsCode(E364,F364)</f>
        <v>E7MA-O436</v>
      </c>
    </row>
    <row r="365" spans="1:7" ht="15.6" x14ac:dyDescent="0.45">
      <c r="A365" s="16" t="s">
        <v>407</v>
      </c>
      <c r="B365" s="16" t="s">
        <v>21</v>
      </c>
      <c r="C365" s="16" t="s">
        <v>22</v>
      </c>
      <c r="D365" s="16" t="s">
        <v>300</v>
      </c>
      <c r="E365" s="17">
        <v>47.643900000000002</v>
      </c>
      <c r="F365" s="17">
        <v>-122.54340000000001</v>
      </c>
      <c r="G365" s="23" t="str">
        <f>MakeLocationsCode(E365,F365)</f>
        <v>E7MA-OX4O</v>
      </c>
    </row>
    <row r="366" spans="1:7" ht="15.6" x14ac:dyDescent="0.45">
      <c r="A366" s="16" t="s">
        <v>408</v>
      </c>
      <c r="B366" s="16" t="s">
        <v>21</v>
      </c>
      <c r="C366" s="16" t="s">
        <v>22</v>
      </c>
      <c r="D366" s="16" t="s">
        <v>300</v>
      </c>
      <c r="E366" s="17">
        <v>47.6663</v>
      </c>
      <c r="F366" s="17">
        <v>-122.6828</v>
      </c>
      <c r="G366" s="23" t="str">
        <f>MakeLocationsCode(E366,F366)</f>
        <v>E7MA-QIHW</v>
      </c>
    </row>
    <row r="367" spans="1:7" ht="15.6" x14ac:dyDescent="0.45">
      <c r="A367" s="16" t="s">
        <v>409</v>
      </c>
      <c r="B367" s="16" t="s">
        <v>21</v>
      </c>
      <c r="C367" s="16" t="s">
        <v>22</v>
      </c>
      <c r="D367" s="16" t="s">
        <v>300</v>
      </c>
      <c r="E367" s="17">
        <v>47.6999</v>
      </c>
      <c r="F367" s="17">
        <v>-122.624</v>
      </c>
      <c r="G367" s="23" t="str">
        <f>MakeLocationsCode(E367,F367)</f>
        <v>E7MA-UP26</v>
      </c>
    </row>
    <row r="368" spans="1:7" ht="15.6" x14ac:dyDescent="0.45">
      <c r="A368" s="16" t="s">
        <v>410</v>
      </c>
      <c r="B368" s="16" t="s">
        <v>21</v>
      </c>
      <c r="C368" s="16" t="s">
        <v>22</v>
      </c>
      <c r="D368" s="16" t="s">
        <v>300</v>
      </c>
      <c r="E368" s="17">
        <v>47.7226</v>
      </c>
      <c r="F368" s="17">
        <v>-122.7144</v>
      </c>
      <c r="G368" s="23" t="str">
        <f>MakeLocationsCode(E368,F368)</f>
        <v>E7MA-WFFK</v>
      </c>
    </row>
    <row r="369" spans="1:7" ht="15.6" x14ac:dyDescent="0.45">
      <c r="A369" s="16" t="s">
        <v>411</v>
      </c>
      <c r="B369" s="16" t="s">
        <v>21</v>
      </c>
      <c r="C369" s="16" t="s">
        <v>22</v>
      </c>
      <c r="D369" s="16" t="s">
        <v>300</v>
      </c>
      <c r="E369" s="17">
        <v>47.723799999999997</v>
      </c>
      <c r="F369" s="17">
        <v>-122.583</v>
      </c>
      <c r="G369" s="23" t="str">
        <f>MakeLocationsCode(E369,F369)</f>
        <v>E7MA-WTKH</v>
      </c>
    </row>
    <row r="370" spans="1:7" ht="15.6" x14ac:dyDescent="0.45">
      <c r="A370" s="16" t="s">
        <v>412</v>
      </c>
      <c r="B370" s="16" t="s">
        <v>21</v>
      </c>
      <c r="C370" s="16" t="s">
        <v>22</v>
      </c>
      <c r="D370" s="16" t="s">
        <v>300</v>
      </c>
      <c r="E370" s="17">
        <v>47.741700000000002</v>
      </c>
      <c r="F370" s="17">
        <v>-122.6407</v>
      </c>
      <c r="G370" s="23" t="str">
        <f>MakeLocationsCode(E370,F370)</f>
        <v>E7MA-YNGD</v>
      </c>
    </row>
    <row r="371" spans="1:7" ht="15.6" x14ac:dyDescent="0.45">
      <c r="A371" s="16" t="s">
        <v>413</v>
      </c>
      <c r="B371" s="16" t="s">
        <v>21</v>
      </c>
      <c r="C371" s="16" t="s">
        <v>22</v>
      </c>
      <c r="D371" s="16" t="s">
        <v>320</v>
      </c>
      <c r="E371" s="17">
        <v>47.444400000000002</v>
      </c>
      <c r="F371" s="17">
        <v>-122.29859999999999</v>
      </c>
      <c r="G371" s="23" t="str">
        <f>MakeLocationsCode(E371,F371)</f>
        <v>E7MB-2PYL</v>
      </c>
    </row>
    <row r="372" spans="1:7" ht="15.6" x14ac:dyDescent="0.45">
      <c r="A372" s="16" t="s">
        <v>414</v>
      </c>
      <c r="B372" s="16" t="s">
        <v>21</v>
      </c>
      <c r="C372" s="16" t="s">
        <v>22</v>
      </c>
      <c r="D372" s="16" t="s">
        <v>320</v>
      </c>
      <c r="E372" s="17">
        <v>47.476199999999999</v>
      </c>
      <c r="F372" s="17">
        <v>-122.3394</v>
      </c>
      <c r="G372" s="23" t="str">
        <f>MakeLocationsCode(E372,F372)</f>
        <v>E7MB-6LCA</v>
      </c>
    </row>
    <row r="373" spans="1:7" ht="15.6" x14ac:dyDescent="0.45">
      <c r="A373" s="16" t="s">
        <v>415</v>
      </c>
      <c r="B373" s="16" t="s">
        <v>21</v>
      </c>
      <c r="C373" s="16" t="s">
        <v>22</v>
      </c>
      <c r="D373" s="16" t="s">
        <v>320</v>
      </c>
      <c r="E373" s="17">
        <v>47.475000000000001</v>
      </c>
      <c r="F373" s="17">
        <v>-122.2728</v>
      </c>
      <c r="G373" s="23" t="str">
        <f>MakeLocationsCode(E373,F373)</f>
        <v>E7MB-6S8C</v>
      </c>
    </row>
    <row r="374" spans="1:7" ht="15.6" x14ac:dyDescent="0.45">
      <c r="A374" s="16" t="s">
        <v>416</v>
      </c>
      <c r="B374" s="16" t="s">
        <v>21</v>
      </c>
      <c r="C374" s="16" t="s">
        <v>22</v>
      </c>
      <c r="D374" s="16" t="s">
        <v>320</v>
      </c>
      <c r="E374" s="17">
        <v>47.494900000000001</v>
      </c>
      <c r="F374" s="17">
        <v>-122.241</v>
      </c>
      <c r="G374" s="23" t="str">
        <f>MakeLocationsCode(E374,F374)</f>
        <v>E7MB-8VCO</v>
      </c>
    </row>
    <row r="375" spans="1:7" ht="15.6" x14ac:dyDescent="0.45">
      <c r="A375" s="16" t="s">
        <v>417</v>
      </c>
      <c r="B375" s="16" t="s">
        <v>21</v>
      </c>
      <c r="C375" s="16" t="s">
        <v>22</v>
      </c>
      <c r="D375" s="16" t="s">
        <v>320</v>
      </c>
      <c r="E375" s="17">
        <v>47.508600000000001</v>
      </c>
      <c r="F375" s="17">
        <v>-122.3479</v>
      </c>
      <c r="G375" s="23" t="str">
        <f>MakeLocationsCode(E375,F375)</f>
        <v>E7MB-9KRE</v>
      </c>
    </row>
    <row r="376" spans="1:7" ht="15.6" x14ac:dyDescent="0.45">
      <c r="A376" s="16" t="s">
        <v>418</v>
      </c>
      <c r="B376" s="16" t="s">
        <v>21</v>
      </c>
      <c r="C376" s="16" t="s">
        <v>22</v>
      </c>
      <c r="D376" s="16" t="s">
        <v>320</v>
      </c>
      <c r="E376" s="17">
        <v>47.5137</v>
      </c>
      <c r="F376" s="17">
        <v>-122.316</v>
      </c>
      <c r="G376" s="23" t="str">
        <f>MakeLocationsCode(E376,F376)</f>
        <v>E7MB-ANBQ</v>
      </c>
    </row>
    <row r="377" spans="1:7" ht="15.6" x14ac:dyDescent="0.45">
      <c r="A377" s="16" t="s">
        <v>419</v>
      </c>
      <c r="B377" s="16" t="s">
        <v>21</v>
      </c>
      <c r="C377" s="16" t="s">
        <v>22</v>
      </c>
      <c r="D377" s="16" t="s">
        <v>320</v>
      </c>
      <c r="E377" s="17">
        <v>47.566099999999999</v>
      </c>
      <c r="F377" s="17">
        <v>-122.232</v>
      </c>
      <c r="G377" s="23" t="str">
        <f>MakeLocationsCode(E377,F377)</f>
        <v>E7MB-FWUN</v>
      </c>
    </row>
    <row r="378" spans="1:7" ht="15.6" x14ac:dyDescent="0.45">
      <c r="A378" s="16" t="s">
        <v>420</v>
      </c>
      <c r="B378" s="16" t="s">
        <v>21</v>
      </c>
      <c r="C378" s="16" t="s">
        <v>22</v>
      </c>
      <c r="D378" s="16" t="s">
        <v>320</v>
      </c>
      <c r="E378" s="17">
        <v>47.585299999999997</v>
      </c>
      <c r="F378" s="17">
        <v>-122.205</v>
      </c>
      <c r="G378" s="23" t="str">
        <f>MakeLocationsCode(E378,F378)</f>
        <v>E7MB-HZVI</v>
      </c>
    </row>
    <row r="379" spans="1:7" ht="15.6" x14ac:dyDescent="0.45">
      <c r="A379" s="16" t="s">
        <v>421</v>
      </c>
      <c r="B379" s="16" t="s">
        <v>21</v>
      </c>
      <c r="C379" s="16" t="s">
        <v>22</v>
      </c>
      <c r="D379" s="16" t="s">
        <v>320</v>
      </c>
      <c r="E379" s="17">
        <v>47.621099999999998</v>
      </c>
      <c r="F379" s="17">
        <v>-122.3244</v>
      </c>
      <c r="G379" s="23" t="str">
        <f>MakeLocationsCode(E379,F379)</f>
        <v>E7MB-LMOU</v>
      </c>
    </row>
    <row r="380" spans="1:7" ht="15.6" x14ac:dyDescent="0.45">
      <c r="A380" s="16" t="s">
        <v>422</v>
      </c>
      <c r="B380" s="16" t="s">
        <v>21</v>
      </c>
      <c r="C380" s="16" t="s">
        <v>22</v>
      </c>
      <c r="D380" s="16" t="s">
        <v>320</v>
      </c>
      <c r="E380" s="17">
        <v>47.627299999999998</v>
      </c>
      <c r="F380" s="17">
        <v>-122.2427</v>
      </c>
      <c r="G380" s="23" t="str">
        <f>MakeLocationsCode(E380,F380)</f>
        <v>E7MB-MVCI</v>
      </c>
    </row>
    <row r="381" spans="1:7" ht="15.6" x14ac:dyDescent="0.45">
      <c r="A381" s="16" t="s">
        <v>423</v>
      </c>
      <c r="B381" s="16" t="s">
        <v>21</v>
      </c>
      <c r="C381" s="16" t="s">
        <v>22</v>
      </c>
      <c r="D381" s="16" t="s">
        <v>320</v>
      </c>
      <c r="E381" s="17">
        <v>47.630400000000002</v>
      </c>
      <c r="F381" s="17">
        <v>-122.218</v>
      </c>
      <c r="G381" s="23" t="str">
        <f>MakeLocationsCode(E381,F381)</f>
        <v>E7MB-MYN5</v>
      </c>
    </row>
    <row r="382" spans="1:7" ht="15.6" x14ac:dyDescent="0.45">
      <c r="A382" s="16" t="s">
        <v>424</v>
      </c>
      <c r="B382" s="16" t="s">
        <v>21</v>
      </c>
      <c r="C382" s="16" t="s">
        <v>22</v>
      </c>
      <c r="D382" s="16" t="s">
        <v>320</v>
      </c>
      <c r="E382" s="17">
        <v>47.646999999999998</v>
      </c>
      <c r="F382" s="17">
        <v>-122.2306</v>
      </c>
      <c r="G382" s="23" t="str">
        <f>MakeLocationsCode(E382,F382)</f>
        <v>E7MB-OWFS</v>
      </c>
    </row>
    <row r="383" spans="1:7" ht="15.6" x14ac:dyDescent="0.45">
      <c r="A383" s="16" t="s">
        <v>425</v>
      </c>
      <c r="B383" s="16" t="s">
        <v>21</v>
      </c>
      <c r="C383" s="16" t="s">
        <v>22</v>
      </c>
      <c r="D383" s="16" t="s">
        <v>320</v>
      </c>
      <c r="E383" s="17">
        <v>47.6492</v>
      </c>
      <c r="F383" s="17">
        <v>-122.2191</v>
      </c>
      <c r="G383" s="23" t="str">
        <f>MakeLocationsCode(E383,F383)</f>
        <v>E7MB-OXNZ</v>
      </c>
    </row>
    <row r="384" spans="1:7" ht="15.6" x14ac:dyDescent="0.45">
      <c r="A384" s="16" t="s">
        <v>426</v>
      </c>
      <c r="B384" s="16" t="s">
        <v>21</v>
      </c>
      <c r="C384" s="16" t="s">
        <v>22</v>
      </c>
      <c r="D384" s="16" t="s">
        <v>320</v>
      </c>
      <c r="E384" s="17">
        <v>47.697000000000003</v>
      </c>
      <c r="F384" s="17">
        <v>-122.20569999999999</v>
      </c>
      <c r="G384" s="23" t="str">
        <f>MakeLocationsCode(E384,F384)</f>
        <v>E7MB-TZPF</v>
      </c>
    </row>
    <row r="385" spans="1:7" ht="15.6" x14ac:dyDescent="0.45">
      <c r="A385" s="16" t="s">
        <v>427</v>
      </c>
      <c r="B385" s="16" t="s">
        <v>21</v>
      </c>
      <c r="C385" s="16" t="s">
        <v>22</v>
      </c>
      <c r="D385" s="16" t="s">
        <v>300</v>
      </c>
      <c r="E385" s="17">
        <v>47.756399999999999</v>
      </c>
      <c r="F385" s="17">
        <v>-122.5158</v>
      </c>
      <c r="G385" s="23" t="str">
        <f>MakeLocationsCode(E385,F385)</f>
        <v>E7MB-Z2ZL</v>
      </c>
    </row>
    <row r="386" spans="1:7" ht="15.6" x14ac:dyDescent="0.45">
      <c r="A386" s="16" t="s">
        <v>428</v>
      </c>
      <c r="B386" s="16" t="s">
        <v>21</v>
      </c>
      <c r="C386" s="16" t="s">
        <v>22</v>
      </c>
      <c r="D386" s="16" t="s">
        <v>320</v>
      </c>
      <c r="E386" s="17">
        <v>47.756399999999999</v>
      </c>
      <c r="F386" s="17">
        <v>-122.3426</v>
      </c>
      <c r="G386" s="23" t="str">
        <f>MakeLocationsCode(E386,F386)</f>
        <v>E7MB-ZKZX</v>
      </c>
    </row>
    <row r="387" spans="1:7" ht="15.6" x14ac:dyDescent="0.45">
      <c r="A387" s="16" t="s">
        <v>429</v>
      </c>
      <c r="B387" s="16" t="s">
        <v>21</v>
      </c>
      <c r="C387" s="16" t="s">
        <v>22</v>
      </c>
      <c r="D387" s="16" t="s">
        <v>320</v>
      </c>
      <c r="E387" s="17">
        <v>47.751600000000003</v>
      </c>
      <c r="F387" s="17">
        <v>-122.24890000000001</v>
      </c>
      <c r="G387" s="23" t="str">
        <f>MakeLocationsCode(E387,F387)</f>
        <v>E7MB-ZUIU</v>
      </c>
    </row>
    <row r="388" spans="1:7" ht="15.6" x14ac:dyDescent="0.45">
      <c r="A388" s="16" t="s">
        <v>430</v>
      </c>
      <c r="B388" s="16" t="s">
        <v>21</v>
      </c>
      <c r="C388" s="16" t="s">
        <v>22</v>
      </c>
      <c r="D388" s="16" t="s">
        <v>320</v>
      </c>
      <c r="E388" s="17">
        <v>47.444099999999999</v>
      </c>
      <c r="F388" s="17">
        <v>-122.0972</v>
      </c>
      <c r="G388" s="23" t="str">
        <f>MakeLocationsCode(E388,F388)</f>
        <v>E7MC-2CXW</v>
      </c>
    </row>
    <row r="389" spans="1:7" ht="15.6" x14ac:dyDescent="0.45">
      <c r="A389" s="16" t="s">
        <v>431</v>
      </c>
      <c r="B389" s="16" t="s">
        <v>21</v>
      </c>
      <c r="C389" s="16" t="s">
        <v>22</v>
      </c>
      <c r="D389" s="16" t="s">
        <v>320</v>
      </c>
      <c r="E389" s="17">
        <v>47.4467</v>
      </c>
      <c r="F389" s="17">
        <v>-122.143</v>
      </c>
      <c r="G389" s="23" t="str">
        <f>MakeLocationsCode(E389,F389)</f>
        <v>E7MC-3883</v>
      </c>
    </row>
    <row r="390" spans="1:7" ht="15.6" x14ac:dyDescent="0.45">
      <c r="A390" s="16" t="s">
        <v>432</v>
      </c>
      <c r="B390" s="16" t="s">
        <v>21</v>
      </c>
      <c r="C390" s="16" t="s">
        <v>22</v>
      </c>
      <c r="D390" s="16" t="s">
        <v>320</v>
      </c>
      <c r="E390" s="17">
        <v>47.461599999999997</v>
      </c>
      <c r="F390" s="17">
        <v>-121.9937</v>
      </c>
      <c r="G390" s="23" t="str">
        <f>MakeLocationsCode(E390,F390)</f>
        <v>E7MC-4NSV</v>
      </c>
    </row>
    <row r="391" spans="1:7" ht="15.6" x14ac:dyDescent="0.45">
      <c r="A391" s="16" t="s">
        <v>433</v>
      </c>
      <c r="B391" s="16" t="s">
        <v>21</v>
      </c>
      <c r="C391" s="16" t="s">
        <v>22</v>
      </c>
      <c r="D391" s="16" t="s">
        <v>320</v>
      </c>
      <c r="E391" s="17">
        <v>47.471800000000002</v>
      </c>
      <c r="F391" s="17">
        <v>-122.08540000000001</v>
      </c>
      <c r="G391" s="23" t="str">
        <f>MakeLocationsCode(E391,F391)</f>
        <v>E7MC-5EU7</v>
      </c>
    </row>
    <row r="392" spans="1:7" ht="15.6" x14ac:dyDescent="0.45">
      <c r="A392" s="16" t="s">
        <v>434</v>
      </c>
      <c r="B392" s="16" t="s">
        <v>21</v>
      </c>
      <c r="C392" s="16" t="s">
        <v>22</v>
      </c>
      <c r="D392" s="16" t="s">
        <v>320</v>
      </c>
      <c r="E392" s="17">
        <v>47.478400000000001</v>
      </c>
      <c r="F392" s="17">
        <v>-122.1918</v>
      </c>
      <c r="G392" s="23" t="str">
        <f>MakeLocationsCode(E392,F392)</f>
        <v>E7MC-62KW</v>
      </c>
    </row>
    <row r="393" spans="1:7" ht="15.6" x14ac:dyDescent="0.45">
      <c r="A393" s="16" t="s">
        <v>435</v>
      </c>
      <c r="B393" s="16" t="s">
        <v>21</v>
      </c>
      <c r="C393" s="16" t="s">
        <v>22</v>
      </c>
      <c r="D393" s="16" t="s">
        <v>320</v>
      </c>
      <c r="E393" s="17">
        <v>47.5304</v>
      </c>
      <c r="F393" s="17">
        <v>-122.16330000000001</v>
      </c>
      <c r="G393" s="23" t="str">
        <f>MakeLocationsCode(E393,F393)</f>
        <v>E7MC-C53W</v>
      </c>
    </row>
    <row r="394" spans="1:7" ht="15.6" x14ac:dyDescent="0.45">
      <c r="A394" s="16" t="s">
        <v>436</v>
      </c>
      <c r="B394" s="16" t="s">
        <v>21</v>
      </c>
      <c r="C394" s="16" t="s">
        <v>22</v>
      </c>
      <c r="D394" s="16" t="s">
        <v>320</v>
      </c>
      <c r="E394" s="17">
        <v>47.543900000000001</v>
      </c>
      <c r="F394" s="17">
        <v>-122.0471</v>
      </c>
      <c r="G394" s="23" t="str">
        <f>MakeLocationsCode(E394,F394)</f>
        <v>E7MC-DII8</v>
      </c>
    </row>
    <row r="395" spans="1:7" ht="15.6" x14ac:dyDescent="0.45">
      <c r="A395" s="16" t="s">
        <v>437</v>
      </c>
      <c r="B395" s="16" t="s">
        <v>21</v>
      </c>
      <c r="C395" s="16" t="s">
        <v>22</v>
      </c>
      <c r="D395" s="16" t="s">
        <v>320</v>
      </c>
      <c r="E395" s="17">
        <v>47.5717</v>
      </c>
      <c r="F395" s="17">
        <v>-121.91330000000001</v>
      </c>
      <c r="G395" s="23" t="str">
        <f>MakeLocationsCode(E395,F395)</f>
        <v>E7MC-GWGE</v>
      </c>
    </row>
    <row r="396" spans="1:7" ht="15.6" x14ac:dyDescent="0.45">
      <c r="A396" s="16" t="s">
        <v>438</v>
      </c>
      <c r="B396" s="16" t="s">
        <v>21</v>
      </c>
      <c r="C396" s="16" t="s">
        <v>22</v>
      </c>
      <c r="D396" s="16" t="s">
        <v>320</v>
      </c>
      <c r="E396" s="17">
        <v>47.595100000000002</v>
      </c>
      <c r="F396" s="17">
        <v>-122.15349999999999</v>
      </c>
      <c r="G396" s="23" t="str">
        <f>MakeLocationsCode(E396,F396)</f>
        <v>E7MC-I6WX</v>
      </c>
    </row>
    <row r="397" spans="1:7" ht="15.6" x14ac:dyDescent="0.45">
      <c r="A397" s="16" t="s">
        <v>439</v>
      </c>
      <c r="B397" s="16" t="s">
        <v>21</v>
      </c>
      <c r="C397" s="16" t="s">
        <v>22</v>
      </c>
      <c r="D397" s="16" t="s">
        <v>320</v>
      </c>
      <c r="E397" s="17">
        <v>47.601700000000001</v>
      </c>
      <c r="F397" s="17">
        <v>-122.0416</v>
      </c>
      <c r="G397" s="23" t="str">
        <f>MakeLocationsCode(E397,F397)</f>
        <v>E7MC-JIMS</v>
      </c>
    </row>
    <row r="398" spans="1:7" ht="15.6" x14ac:dyDescent="0.45">
      <c r="A398" s="16" t="s">
        <v>440</v>
      </c>
      <c r="B398" s="16" t="s">
        <v>21</v>
      </c>
      <c r="C398" s="16" t="s">
        <v>22</v>
      </c>
      <c r="D398" s="16" t="s">
        <v>320</v>
      </c>
      <c r="E398" s="17">
        <v>47.634599999999999</v>
      </c>
      <c r="F398" s="17">
        <v>-121.96639999999999</v>
      </c>
      <c r="G398" s="23" t="str">
        <f>MakeLocationsCode(E398,F398)</f>
        <v>E7MC-NQ5R</v>
      </c>
    </row>
    <row r="399" spans="1:7" ht="15.6" x14ac:dyDescent="0.45">
      <c r="A399" s="16" t="s">
        <v>441</v>
      </c>
      <c r="B399" s="16" t="s">
        <v>21</v>
      </c>
      <c r="C399" s="16" t="s">
        <v>22</v>
      </c>
      <c r="D399" s="16" t="s">
        <v>320</v>
      </c>
      <c r="E399" s="17">
        <v>47.644300000000001</v>
      </c>
      <c r="F399" s="17">
        <v>-121.904</v>
      </c>
      <c r="G399" s="23" t="str">
        <f>MakeLocationsCode(E399,F399)</f>
        <v>E7MC-OX5E</v>
      </c>
    </row>
    <row r="400" spans="1:7" ht="15.6" x14ac:dyDescent="0.45">
      <c r="A400" s="16" t="s">
        <v>442</v>
      </c>
      <c r="B400" s="16" t="s">
        <v>21</v>
      </c>
      <c r="C400" s="16" t="s">
        <v>22</v>
      </c>
      <c r="D400" s="16" t="s">
        <v>320</v>
      </c>
      <c r="E400" s="17">
        <v>47.676299999999998</v>
      </c>
      <c r="F400" s="17">
        <v>-122.1169</v>
      </c>
      <c r="G400" s="23" t="str">
        <f>MakeLocationsCode(E400,F400)</f>
        <v>E7MC-RAJT</v>
      </c>
    </row>
    <row r="401" spans="1:7" ht="15.6" x14ac:dyDescent="0.45">
      <c r="A401" s="16" t="s">
        <v>443</v>
      </c>
      <c r="B401" s="16" t="s">
        <v>21</v>
      </c>
      <c r="C401" s="16" t="s">
        <v>22</v>
      </c>
      <c r="D401" s="16" t="s">
        <v>320</v>
      </c>
      <c r="E401" s="17">
        <v>47.678800000000003</v>
      </c>
      <c r="F401" s="17">
        <v>-122.0284</v>
      </c>
      <c r="G401" s="23" t="str">
        <f>MakeLocationsCode(E401,F401)</f>
        <v>E7MC-RKS8</v>
      </c>
    </row>
    <row r="402" spans="1:7" ht="15.6" x14ac:dyDescent="0.45">
      <c r="A402" s="16" t="s">
        <v>444</v>
      </c>
      <c r="B402" s="16" t="s">
        <v>21</v>
      </c>
      <c r="C402" s="16" t="s">
        <v>22</v>
      </c>
      <c r="D402" s="16" t="s">
        <v>320</v>
      </c>
      <c r="E402" s="17">
        <v>47.692599999999999</v>
      </c>
      <c r="F402" s="17">
        <v>-121.9151</v>
      </c>
      <c r="G402" s="23" t="str">
        <f>MakeLocationsCode(E402,F402)</f>
        <v>E7MC-TW98</v>
      </c>
    </row>
    <row r="403" spans="1:7" ht="15.6" x14ac:dyDescent="0.45">
      <c r="A403" s="16" t="s">
        <v>445</v>
      </c>
      <c r="B403" s="16" t="s">
        <v>21</v>
      </c>
      <c r="C403" s="16" t="s">
        <v>22</v>
      </c>
      <c r="D403" s="16" t="s">
        <v>320</v>
      </c>
      <c r="E403" s="17">
        <v>47.735399999999998</v>
      </c>
      <c r="F403" s="17">
        <v>-121.9726</v>
      </c>
      <c r="G403" s="23" t="str">
        <f>MakeLocationsCode(E403,F403)</f>
        <v>E7MC-XQR5</v>
      </c>
    </row>
    <row r="404" spans="1:7" ht="15.6" x14ac:dyDescent="0.45">
      <c r="A404" s="16" t="s">
        <v>446</v>
      </c>
      <c r="B404" s="16" t="s">
        <v>21</v>
      </c>
      <c r="C404" s="16" t="s">
        <v>22</v>
      </c>
      <c r="D404" s="16" t="s">
        <v>320</v>
      </c>
      <c r="E404" s="17">
        <v>47.746600000000001</v>
      </c>
      <c r="F404" s="17">
        <v>-122.07550000000001</v>
      </c>
      <c r="G404" s="23" t="str">
        <f>MakeLocationsCode(E404,F404)</f>
        <v>E7MC-YFY8</v>
      </c>
    </row>
    <row r="405" spans="1:7" ht="15.6" x14ac:dyDescent="0.45">
      <c r="A405" s="16" t="s">
        <v>447</v>
      </c>
      <c r="B405" s="16" t="s">
        <v>21</v>
      </c>
      <c r="C405" s="16" t="s">
        <v>22</v>
      </c>
      <c r="D405" s="16" t="s">
        <v>320</v>
      </c>
      <c r="E405" s="17">
        <v>47.446399999999997</v>
      </c>
      <c r="F405" s="17">
        <v>-121.76900000000001</v>
      </c>
      <c r="G405" s="23" t="str">
        <f>MakeLocationsCode(E405,F405)</f>
        <v>E7MD-3D7O</v>
      </c>
    </row>
    <row r="406" spans="1:7" ht="15.6" x14ac:dyDescent="0.45">
      <c r="A406" s="16" t="s">
        <v>448</v>
      </c>
      <c r="B406" s="16" t="s">
        <v>21</v>
      </c>
      <c r="C406" s="16" t="s">
        <v>22</v>
      </c>
      <c r="D406" s="16" t="s">
        <v>320</v>
      </c>
      <c r="E406" s="17">
        <v>47.465299999999999</v>
      </c>
      <c r="F406" s="17">
        <v>-121.74930000000001</v>
      </c>
      <c r="G406" s="23" t="str">
        <f>MakeLocationsCode(E406,F406)</f>
        <v>E7MD-5F7R</v>
      </c>
    </row>
    <row r="407" spans="1:7" ht="15.6" x14ac:dyDescent="0.45">
      <c r="A407" s="16" t="s">
        <v>449</v>
      </c>
      <c r="B407" s="16" t="s">
        <v>21</v>
      </c>
      <c r="C407" s="16" t="s">
        <v>22</v>
      </c>
      <c r="D407" s="16" t="s">
        <v>320</v>
      </c>
      <c r="E407" s="17">
        <v>47.49</v>
      </c>
      <c r="F407" s="17">
        <v>-121.7741</v>
      </c>
      <c r="G407" s="23" t="str">
        <f>MakeLocationsCode(E407,F407)</f>
        <v>E7MD-7DS5</v>
      </c>
    </row>
    <row r="408" spans="1:7" ht="15.6" x14ac:dyDescent="0.45">
      <c r="A408" s="16" t="s">
        <v>450</v>
      </c>
      <c r="B408" s="16" t="s">
        <v>21</v>
      </c>
      <c r="C408" s="16" t="s">
        <v>22</v>
      </c>
      <c r="D408" s="16" t="s">
        <v>320</v>
      </c>
      <c r="E408" s="17">
        <v>47.484200000000001</v>
      </c>
      <c r="F408" s="17">
        <v>-121.71510000000001</v>
      </c>
      <c r="G408" s="23" t="str">
        <f>MakeLocationsCode(E408,F408)</f>
        <v>E7MD-7J7E</v>
      </c>
    </row>
    <row r="409" spans="1:7" ht="15.6" x14ac:dyDescent="0.45">
      <c r="A409" s="16" t="s">
        <v>451</v>
      </c>
      <c r="B409" s="16" t="s">
        <v>21</v>
      </c>
      <c r="C409" s="16" t="s">
        <v>22</v>
      </c>
      <c r="D409" s="16" t="s">
        <v>320</v>
      </c>
      <c r="E409" s="17">
        <v>47.529299999999999</v>
      </c>
      <c r="F409" s="17">
        <v>-121.8412</v>
      </c>
      <c r="G409" s="23" t="str">
        <f>MakeLocationsCode(E409,F409)</f>
        <v>E7MD-B6X2</v>
      </c>
    </row>
    <row r="410" spans="1:7" ht="15.6" x14ac:dyDescent="0.45">
      <c r="A410" s="16" t="s">
        <v>452</v>
      </c>
      <c r="B410" s="16" t="s">
        <v>21</v>
      </c>
      <c r="C410" s="16" t="s">
        <v>22</v>
      </c>
      <c r="D410" s="16" t="s">
        <v>320</v>
      </c>
      <c r="E410" s="17">
        <v>47.7104</v>
      </c>
      <c r="F410" s="17">
        <v>-121.3584</v>
      </c>
      <c r="G410" s="23" t="str">
        <f>MakeLocationsCode(E410,F410)</f>
        <v>E7ME-VN56</v>
      </c>
    </row>
    <row r="411" spans="1:7" ht="15.6" x14ac:dyDescent="0.45">
      <c r="A411" s="16" t="s">
        <v>453</v>
      </c>
      <c r="B411" s="16" t="s">
        <v>21</v>
      </c>
      <c r="C411" s="16" t="s">
        <v>22</v>
      </c>
      <c r="D411" s="16" t="s">
        <v>357</v>
      </c>
      <c r="E411" s="17">
        <v>47.595199999999998</v>
      </c>
      <c r="F411" s="17">
        <v>-120.6628</v>
      </c>
      <c r="G411" s="23" t="str">
        <f>MakeLocationsCode(E411,F411)</f>
        <v>E7MG-ISXS</v>
      </c>
    </row>
    <row r="412" spans="1:7" ht="15.6" x14ac:dyDescent="0.45">
      <c r="A412" s="16" t="s">
        <v>454</v>
      </c>
      <c r="B412" s="16" t="s">
        <v>21</v>
      </c>
      <c r="C412" s="16" t="s">
        <v>22</v>
      </c>
      <c r="D412" s="16" t="s">
        <v>357</v>
      </c>
      <c r="E412" s="17">
        <v>47.436</v>
      </c>
      <c r="F412" s="17">
        <v>-120.3295</v>
      </c>
      <c r="G412" s="23" t="str">
        <f>MakeLocationsCode(E412,F412)</f>
        <v>E7MH-2U44</v>
      </c>
    </row>
    <row r="413" spans="1:7" ht="15.6" x14ac:dyDescent="0.45">
      <c r="A413" s="16" t="s">
        <v>455</v>
      </c>
      <c r="B413" s="16" t="s">
        <v>21</v>
      </c>
      <c r="C413" s="16" t="s">
        <v>22</v>
      </c>
      <c r="D413" s="16" t="s">
        <v>357</v>
      </c>
      <c r="E413" s="17">
        <v>47.491300000000003</v>
      </c>
      <c r="F413" s="17">
        <v>-120.3493</v>
      </c>
      <c r="G413" s="23" t="str">
        <f>MakeLocationsCode(E413,F413)</f>
        <v>E7MH-7RXZ</v>
      </c>
    </row>
    <row r="414" spans="1:7" ht="15.6" x14ac:dyDescent="0.45">
      <c r="A414" s="16" t="s">
        <v>456</v>
      </c>
      <c r="B414" s="16" t="s">
        <v>21</v>
      </c>
      <c r="C414" s="16" t="s">
        <v>22</v>
      </c>
      <c r="D414" s="16" t="s">
        <v>357</v>
      </c>
      <c r="E414" s="17">
        <v>47.517499999999998</v>
      </c>
      <c r="F414" s="17">
        <v>-120.467</v>
      </c>
      <c r="G414" s="23" t="str">
        <f>MakeLocationsCode(E414,F414)</f>
        <v>E7MH-AFPJ</v>
      </c>
    </row>
    <row r="415" spans="1:7" ht="15.6" x14ac:dyDescent="0.45">
      <c r="A415" s="16" t="s">
        <v>457</v>
      </c>
      <c r="B415" s="16" t="s">
        <v>21</v>
      </c>
      <c r="C415" s="16" t="s">
        <v>22</v>
      </c>
      <c r="D415" s="16" t="s">
        <v>359</v>
      </c>
      <c r="E415" s="17">
        <v>47.648000000000003</v>
      </c>
      <c r="F415" s="17">
        <v>-120.0707</v>
      </c>
      <c r="G415" s="23" t="str">
        <f>MakeLocationsCode(E415,F415)</f>
        <v>E7MI-ONJH</v>
      </c>
    </row>
    <row r="416" spans="1:7" ht="15.6" x14ac:dyDescent="0.45">
      <c r="A416" s="16" t="s">
        <v>458</v>
      </c>
      <c r="B416" s="16" t="s">
        <v>21</v>
      </c>
      <c r="C416" s="16" t="s">
        <v>22</v>
      </c>
      <c r="D416" s="16" t="s">
        <v>357</v>
      </c>
      <c r="E416" s="17">
        <v>47.677999999999997</v>
      </c>
      <c r="F416" s="17">
        <v>-120.2175</v>
      </c>
      <c r="G416" s="23" t="str">
        <f>MakeLocationsCode(E416,F416)</f>
        <v>E7MI-R7PX</v>
      </c>
    </row>
    <row r="417" spans="1:7" ht="15.6" x14ac:dyDescent="0.45">
      <c r="A417" s="16" t="s">
        <v>459</v>
      </c>
      <c r="B417" s="16" t="s">
        <v>21</v>
      </c>
      <c r="C417" s="16" t="s">
        <v>22</v>
      </c>
      <c r="D417" s="16" t="s">
        <v>170</v>
      </c>
      <c r="E417" s="17">
        <v>47.612200000000001</v>
      </c>
      <c r="F417" s="17">
        <v>-119.2895</v>
      </c>
      <c r="G417" s="23" t="str">
        <f>MakeLocationsCode(E417,F417)</f>
        <v>E7ML-K4Q8</v>
      </c>
    </row>
    <row r="418" spans="1:7" ht="15.6" x14ac:dyDescent="0.45">
      <c r="A418" s="16" t="s">
        <v>460</v>
      </c>
      <c r="B418" s="16" t="s">
        <v>21</v>
      </c>
      <c r="C418" s="16" t="s">
        <v>22</v>
      </c>
      <c r="D418" s="16" t="s">
        <v>170</v>
      </c>
      <c r="E418" s="17">
        <v>47.631500000000003</v>
      </c>
      <c r="F418" s="17">
        <v>-119.276</v>
      </c>
      <c r="G418" s="23" t="str">
        <f>MakeLocationsCode(E418,F418)</f>
        <v>E7ML-M5RM</v>
      </c>
    </row>
    <row r="419" spans="1:7" ht="15.6" x14ac:dyDescent="0.45">
      <c r="A419" s="16" t="s">
        <v>461</v>
      </c>
      <c r="B419" s="16" t="s">
        <v>21</v>
      </c>
      <c r="C419" s="16" t="s">
        <v>22</v>
      </c>
      <c r="D419" s="16" t="s">
        <v>170</v>
      </c>
      <c r="E419" s="17">
        <v>47.689399999999999</v>
      </c>
      <c r="F419" s="17">
        <v>-119.10809999999999</v>
      </c>
      <c r="G419" s="23" t="str">
        <f>MakeLocationsCode(E419,F419)</f>
        <v>E7ML-SNWF</v>
      </c>
    </row>
    <row r="420" spans="1:7" ht="15.6" x14ac:dyDescent="0.45">
      <c r="A420" s="16" t="s">
        <v>462</v>
      </c>
      <c r="B420" s="16" t="s">
        <v>21</v>
      </c>
      <c r="C420" s="16" t="s">
        <v>22</v>
      </c>
      <c r="D420" s="16" t="s">
        <v>372</v>
      </c>
      <c r="E420" s="17">
        <v>47.710500000000003</v>
      </c>
      <c r="F420" s="17">
        <v>-118.93689999999999</v>
      </c>
      <c r="G420" s="23" t="str">
        <f>MakeLocationsCode(E420,F420)</f>
        <v>E7MM-V76J</v>
      </c>
    </row>
    <row r="421" spans="1:7" ht="15.6" x14ac:dyDescent="0.45">
      <c r="A421" s="16" t="s">
        <v>463</v>
      </c>
      <c r="B421" s="16" t="s">
        <v>21</v>
      </c>
      <c r="C421" s="16" t="s">
        <v>22</v>
      </c>
      <c r="D421" s="16" t="s">
        <v>372</v>
      </c>
      <c r="E421" s="17">
        <v>47.4803</v>
      </c>
      <c r="F421" s="17">
        <v>-118.25539999999999</v>
      </c>
      <c r="G421" s="23" t="str">
        <f>MakeLocationsCode(E421,F421)</f>
        <v>E7MO-6BRP</v>
      </c>
    </row>
    <row r="422" spans="1:7" ht="15.6" x14ac:dyDescent="0.45">
      <c r="A422" s="16" t="s">
        <v>464</v>
      </c>
      <c r="B422" s="16" t="s">
        <v>21</v>
      </c>
      <c r="C422" s="16" t="s">
        <v>22</v>
      </c>
      <c r="D422" s="16" t="s">
        <v>372</v>
      </c>
      <c r="E422" s="17">
        <v>47.655000000000001</v>
      </c>
      <c r="F422" s="17">
        <v>-118.1519</v>
      </c>
      <c r="G422" s="23" t="str">
        <f>MakeLocationsCode(E422,F422)</f>
        <v>E7MO-PMAN</v>
      </c>
    </row>
    <row r="423" spans="1:7" ht="15.6" x14ac:dyDescent="0.45">
      <c r="A423" s="16" t="s">
        <v>465</v>
      </c>
      <c r="B423" s="16" t="s">
        <v>21</v>
      </c>
      <c r="C423" s="16" t="s">
        <v>22</v>
      </c>
      <c r="D423" s="16" t="s">
        <v>372</v>
      </c>
      <c r="E423" s="17">
        <v>47.669800000000002</v>
      </c>
      <c r="F423" s="17">
        <v>-117.878</v>
      </c>
      <c r="G423" s="23" t="str">
        <f>MakeLocationsCode(E423,F423)</f>
        <v>E7MP-QHTN</v>
      </c>
    </row>
    <row r="424" spans="1:7" ht="15.6" x14ac:dyDescent="0.45">
      <c r="A424" s="16" t="s">
        <v>466</v>
      </c>
      <c r="B424" s="16" t="s">
        <v>21</v>
      </c>
      <c r="C424" s="16" t="s">
        <v>22</v>
      </c>
      <c r="D424" s="16" t="s">
        <v>382</v>
      </c>
      <c r="E424" s="17">
        <v>47.490099999999998</v>
      </c>
      <c r="F424" s="17">
        <v>-117.57899999999999</v>
      </c>
      <c r="G424" s="23" t="str">
        <f>MakeLocationsCode(E424,F424)</f>
        <v>E7MQ-7FSC</v>
      </c>
    </row>
    <row r="425" spans="1:7" ht="15.6" x14ac:dyDescent="0.45">
      <c r="A425" s="16" t="s">
        <v>467</v>
      </c>
      <c r="B425" s="16" t="s">
        <v>21</v>
      </c>
      <c r="C425" s="16" t="s">
        <v>22</v>
      </c>
      <c r="D425" s="16" t="s">
        <v>382</v>
      </c>
      <c r="E425" s="17">
        <v>47.557600000000001</v>
      </c>
      <c r="F425" s="17">
        <v>-117.5818</v>
      </c>
      <c r="G425" s="23" t="str">
        <f>MakeLocationsCode(E425,F425)</f>
        <v>E7MQ-EFX2</v>
      </c>
    </row>
    <row r="426" spans="1:7" ht="15.6" x14ac:dyDescent="0.45">
      <c r="A426" s="16" t="s">
        <v>468</v>
      </c>
      <c r="B426" s="16" t="s">
        <v>21</v>
      </c>
      <c r="C426" s="16" t="s">
        <v>22</v>
      </c>
      <c r="D426" s="16" t="s">
        <v>382</v>
      </c>
      <c r="E426" s="17">
        <v>47.571199999999997</v>
      </c>
      <c r="F426" s="17">
        <v>-117.6893</v>
      </c>
      <c r="G426" s="23" t="str">
        <f>MakeLocationsCode(E426,F426)</f>
        <v>E7MQ-G3EN</v>
      </c>
    </row>
    <row r="427" spans="1:7" ht="15.6" x14ac:dyDescent="0.45">
      <c r="A427" s="16" t="s">
        <v>469</v>
      </c>
      <c r="B427" s="16" t="s">
        <v>21</v>
      </c>
      <c r="C427" s="16" t="s">
        <v>22</v>
      </c>
      <c r="D427" s="16" t="s">
        <v>382</v>
      </c>
      <c r="E427" s="17">
        <v>47.618699999999997</v>
      </c>
      <c r="F427" s="17">
        <v>-117.6484</v>
      </c>
      <c r="G427" s="23" t="str">
        <f>MakeLocationsCode(E427,F427)</f>
        <v>E7MQ-L7FY</v>
      </c>
    </row>
    <row r="428" spans="1:7" ht="15.6" x14ac:dyDescent="0.45">
      <c r="A428" s="16" t="s">
        <v>470</v>
      </c>
      <c r="B428" s="16" t="s">
        <v>21</v>
      </c>
      <c r="C428" s="16" t="s">
        <v>22</v>
      </c>
      <c r="D428" s="16" t="s">
        <v>382</v>
      </c>
      <c r="E428" s="17">
        <v>47.645899999999997</v>
      </c>
      <c r="F428" s="17">
        <v>-117.5792</v>
      </c>
      <c r="G428" s="23" t="str">
        <f>MakeLocationsCode(E428,F428)</f>
        <v>E7MQ-OFBB</v>
      </c>
    </row>
    <row r="429" spans="1:7" ht="15.6" x14ac:dyDescent="0.45">
      <c r="A429" s="16" t="s">
        <v>382</v>
      </c>
      <c r="B429" s="16" t="s">
        <v>21</v>
      </c>
      <c r="C429" s="16" t="s">
        <v>22</v>
      </c>
      <c r="D429" s="16" t="s">
        <v>382</v>
      </c>
      <c r="E429" s="17">
        <v>47.667099999999998</v>
      </c>
      <c r="F429" s="17">
        <v>-117.43300000000001</v>
      </c>
      <c r="G429" s="23" t="str">
        <f>MakeLocationsCode(E429,F429)</f>
        <v>E7MQ-QUKR</v>
      </c>
    </row>
    <row r="430" spans="1:7" ht="15.6" x14ac:dyDescent="0.45">
      <c r="A430" s="16" t="s">
        <v>471</v>
      </c>
      <c r="B430" s="16" t="s">
        <v>21</v>
      </c>
      <c r="C430" s="16" t="s">
        <v>22</v>
      </c>
      <c r="D430" s="16" t="s">
        <v>382</v>
      </c>
      <c r="E430" s="17">
        <v>47.725900000000003</v>
      </c>
      <c r="F430" s="17">
        <v>-117.422</v>
      </c>
      <c r="G430" s="23" t="str">
        <f>MakeLocationsCode(E430,F430)</f>
        <v>E7MQ-WVRX</v>
      </c>
    </row>
    <row r="431" spans="1:7" ht="15.6" x14ac:dyDescent="0.45">
      <c r="A431" s="16" t="s">
        <v>472</v>
      </c>
      <c r="B431" s="16" t="s">
        <v>21</v>
      </c>
      <c r="C431" s="16" t="s">
        <v>22</v>
      </c>
      <c r="D431" s="16" t="s">
        <v>382</v>
      </c>
      <c r="E431" s="17">
        <v>47.747900000000001</v>
      </c>
      <c r="F431" s="17">
        <v>-117.4199</v>
      </c>
      <c r="G431" s="23" t="str">
        <f>MakeLocationsCode(E431,F431)</f>
        <v>E7MQ-ZW46</v>
      </c>
    </row>
    <row r="432" spans="1:7" ht="15.6" x14ac:dyDescent="0.45">
      <c r="A432" s="16" t="s">
        <v>473</v>
      </c>
      <c r="B432" s="16" t="s">
        <v>21</v>
      </c>
      <c r="C432" s="16" t="s">
        <v>22</v>
      </c>
      <c r="D432" s="16" t="s">
        <v>382</v>
      </c>
      <c r="E432" s="17">
        <v>47.451500000000003</v>
      </c>
      <c r="F432" s="17">
        <v>-117.1307</v>
      </c>
      <c r="G432" s="23" t="str">
        <f>MakeLocationsCode(E432,F432)</f>
        <v>E7MR-3SPR</v>
      </c>
    </row>
    <row r="433" spans="1:7" ht="15.6" x14ac:dyDescent="0.45">
      <c r="A433" s="16" t="s">
        <v>474</v>
      </c>
      <c r="B433" s="16" t="s">
        <v>21</v>
      </c>
      <c r="C433" s="16" t="s">
        <v>22</v>
      </c>
      <c r="D433" s="16" t="s">
        <v>382</v>
      </c>
      <c r="E433" s="17">
        <v>47.662599999999998</v>
      </c>
      <c r="F433" s="17">
        <v>-117.2346</v>
      </c>
      <c r="G433" s="23" t="str">
        <f>MakeLocationsCode(E433,F433)</f>
        <v>E7MR-QH3R</v>
      </c>
    </row>
    <row r="434" spans="1:7" ht="15.6" x14ac:dyDescent="0.45">
      <c r="A434" s="16" t="s">
        <v>475</v>
      </c>
      <c r="B434" s="16" t="s">
        <v>21</v>
      </c>
      <c r="C434" s="16" t="s">
        <v>22</v>
      </c>
      <c r="D434" s="16" t="s">
        <v>382</v>
      </c>
      <c r="E434" s="17">
        <v>47.668599999999998</v>
      </c>
      <c r="F434" s="17">
        <v>-117.1036</v>
      </c>
      <c r="G434" s="23" t="str">
        <f>MakeLocationsCode(E434,F434)</f>
        <v>E7MR-QVPN</v>
      </c>
    </row>
    <row r="435" spans="1:7" ht="15.6" x14ac:dyDescent="0.45">
      <c r="A435" s="16" t="s">
        <v>476</v>
      </c>
      <c r="B435" s="16" t="s">
        <v>21</v>
      </c>
      <c r="C435" s="16" t="s">
        <v>22</v>
      </c>
      <c r="D435" s="16" t="s">
        <v>382</v>
      </c>
      <c r="E435" s="17">
        <v>47.685600000000001</v>
      </c>
      <c r="F435" s="17">
        <v>-117.28060000000001</v>
      </c>
      <c r="G435" s="23" t="str">
        <f>MakeLocationsCode(E435,F435)</f>
        <v>E7MR-SCIW</v>
      </c>
    </row>
    <row r="436" spans="1:7" ht="15.6" x14ac:dyDescent="0.45">
      <c r="A436" s="16" t="s">
        <v>477</v>
      </c>
      <c r="B436" s="16" t="s">
        <v>21</v>
      </c>
      <c r="C436" s="16" t="s">
        <v>22</v>
      </c>
      <c r="D436" s="16" t="s">
        <v>382</v>
      </c>
      <c r="E436" s="17">
        <v>47.703000000000003</v>
      </c>
      <c r="F436" s="17">
        <v>-117.08540000000001</v>
      </c>
      <c r="G436" s="23" t="str">
        <f>MakeLocationsCode(E436,F436)</f>
        <v>E7MR-UXDL</v>
      </c>
    </row>
    <row r="437" spans="1:7" ht="15.6" x14ac:dyDescent="0.45">
      <c r="A437" s="16" t="s">
        <v>478</v>
      </c>
      <c r="B437" s="16" t="s">
        <v>21</v>
      </c>
      <c r="C437" s="16" t="s">
        <v>22</v>
      </c>
      <c r="D437" s="16" t="s">
        <v>479</v>
      </c>
      <c r="E437" s="17">
        <v>47.9527</v>
      </c>
      <c r="F437" s="17">
        <v>-124.3903</v>
      </c>
      <c r="G437" s="23" t="str">
        <f>MakeLocationsCode(E437,F437)</f>
        <v>E7N5-M8S5</v>
      </c>
    </row>
    <row r="438" spans="1:7" ht="15.6" x14ac:dyDescent="0.45">
      <c r="A438" s="16" t="s">
        <v>480</v>
      </c>
      <c r="B438" s="16" t="s">
        <v>21</v>
      </c>
      <c r="C438" s="16" t="s">
        <v>22</v>
      </c>
      <c r="D438" s="16" t="s">
        <v>390</v>
      </c>
      <c r="E438" s="17">
        <v>47.8369</v>
      </c>
      <c r="F438" s="17">
        <v>-122.9058</v>
      </c>
      <c r="G438" s="23" t="str">
        <f>MakeLocationsCode(E438,F438)</f>
        <v>E7N9-ATJB</v>
      </c>
    </row>
    <row r="439" spans="1:7" ht="15.6" x14ac:dyDescent="0.45">
      <c r="A439" s="16" t="s">
        <v>481</v>
      </c>
      <c r="B439" s="16" t="s">
        <v>21</v>
      </c>
      <c r="C439" s="16" t="s">
        <v>22</v>
      </c>
      <c r="D439" s="16" t="s">
        <v>479</v>
      </c>
      <c r="E439" s="17">
        <v>48.013100000000001</v>
      </c>
      <c r="F439" s="17">
        <v>-122.9897</v>
      </c>
      <c r="G439" s="23" t="str">
        <f>MakeLocationsCode(E439,F439)</f>
        <v>E7N9-TK7F</v>
      </c>
    </row>
    <row r="440" spans="1:7" ht="15.6" x14ac:dyDescent="0.45">
      <c r="A440" s="16" t="s">
        <v>482</v>
      </c>
      <c r="B440" s="16" t="s">
        <v>21</v>
      </c>
      <c r="C440" s="16" t="s">
        <v>22</v>
      </c>
      <c r="D440" s="16" t="s">
        <v>479</v>
      </c>
      <c r="E440" s="17">
        <v>48.055</v>
      </c>
      <c r="F440" s="17">
        <v>-123.0869</v>
      </c>
      <c r="G440" s="23" t="str">
        <f>MakeLocationsCode(E440,F440)</f>
        <v>E7N9-XAM5</v>
      </c>
    </row>
    <row r="441" spans="1:7" ht="15.6" x14ac:dyDescent="0.45">
      <c r="A441" s="16" t="s">
        <v>483</v>
      </c>
      <c r="B441" s="16" t="s">
        <v>21</v>
      </c>
      <c r="C441" s="16" t="s">
        <v>22</v>
      </c>
      <c r="D441" s="16" t="s">
        <v>479</v>
      </c>
      <c r="E441" s="17">
        <v>48.067700000000002</v>
      </c>
      <c r="F441" s="17">
        <v>-123.1276</v>
      </c>
      <c r="G441" s="23" t="str">
        <f>MakeLocationsCode(E441,F441)</f>
        <v>E7N9-Y5YT</v>
      </c>
    </row>
    <row r="442" spans="1:7" ht="15.6" x14ac:dyDescent="0.45">
      <c r="A442" s="16" t="s">
        <v>484</v>
      </c>
      <c r="B442" s="16" t="s">
        <v>21</v>
      </c>
      <c r="C442" s="16" t="s">
        <v>22</v>
      </c>
      <c r="D442" s="16" t="s">
        <v>479</v>
      </c>
      <c r="E442" s="17">
        <v>48.074599999999997</v>
      </c>
      <c r="F442" s="17">
        <v>-123.0945</v>
      </c>
      <c r="G442" s="23" t="str">
        <f>MakeLocationsCode(E442,F442)</f>
        <v>E7N9-Z9PC</v>
      </c>
    </row>
    <row r="443" spans="1:7" ht="15.6" x14ac:dyDescent="0.45">
      <c r="A443" s="16" t="s">
        <v>485</v>
      </c>
      <c r="B443" s="16" t="s">
        <v>21</v>
      </c>
      <c r="C443" s="16" t="s">
        <v>22</v>
      </c>
      <c r="D443" s="16" t="s">
        <v>300</v>
      </c>
      <c r="E443" s="17">
        <v>47.811399999999999</v>
      </c>
      <c r="F443" s="17">
        <v>-122.6563</v>
      </c>
      <c r="G443" s="23" t="str">
        <f>MakeLocationsCode(E443,F443)</f>
        <v>E7NA-7LTP</v>
      </c>
    </row>
    <row r="444" spans="1:7" ht="15.6" x14ac:dyDescent="0.45">
      <c r="A444" s="16" t="s">
        <v>486</v>
      </c>
      <c r="B444" s="16" t="s">
        <v>21</v>
      </c>
      <c r="C444" s="16" t="s">
        <v>22</v>
      </c>
      <c r="D444" s="16" t="s">
        <v>300</v>
      </c>
      <c r="E444" s="17">
        <v>47.848799999999997</v>
      </c>
      <c r="F444" s="17">
        <v>-122.55710000000001</v>
      </c>
      <c r="G444" s="23" t="str">
        <f>MakeLocationsCode(E444,F444)</f>
        <v>E7NA-BWS8</v>
      </c>
    </row>
    <row r="445" spans="1:7" ht="15.6" x14ac:dyDescent="0.45">
      <c r="A445" s="16" t="s">
        <v>487</v>
      </c>
      <c r="B445" s="16" t="s">
        <v>21</v>
      </c>
      <c r="C445" s="16" t="s">
        <v>22</v>
      </c>
      <c r="D445" s="16" t="s">
        <v>300</v>
      </c>
      <c r="E445" s="17">
        <v>47.8979</v>
      </c>
      <c r="F445" s="17">
        <v>-122.5579</v>
      </c>
      <c r="G445" s="23" t="str">
        <f>MakeLocationsCode(E445,F445)</f>
        <v>E7NA-GWY6</v>
      </c>
    </row>
    <row r="446" spans="1:7" ht="15.6" x14ac:dyDescent="0.45">
      <c r="A446" s="16" t="s">
        <v>488</v>
      </c>
      <c r="B446" s="16" t="s">
        <v>21</v>
      </c>
      <c r="C446" s="16" t="s">
        <v>22</v>
      </c>
      <c r="D446" s="16" t="s">
        <v>390</v>
      </c>
      <c r="E446" s="17">
        <v>47.9101</v>
      </c>
      <c r="F446" s="17">
        <v>-122.70059999999999</v>
      </c>
      <c r="G446" s="23" t="str">
        <f>MakeLocationsCode(E446,F446)</f>
        <v>E7NA-IHA2</v>
      </c>
    </row>
    <row r="447" spans="1:7" ht="15.6" x14ac:dyDescent="0.45">
      <c r="A447" s="16" t="s">
        <v>489</v>
      </c>
      <c r="B447" s="16" t="s">
        <v>21</v>
      </c>
      <c r="C447" s="16" t="s">
        <v>22</v>
      </c>
      <c r="D447" s="16" t="s">
        <v>490</v>
      </c>
      <c r="E447" s="17">
        <v>48.018599999999999</v>
      </c>
      <c r="F447" s="17">
        <v>-122.5359</v>
      </c>
      <c r="G447" s="23" t="str">
        <f>MakeLocationsCode(E447,F447)</f>
        <v>E7NA-TYRH</v>
      </c>
    </row>
    <row r="448" spans="1:7" ht="15.6" x14ac:dyDescent="0.45">
      <c r="A448" s="16" t="s">
        <v>491</v>
      </c>
      <c r="B448" s="16" t="s">
        <v>21</v>
      </c>
      <c r="C448" s="16" t="s">
        <v>22</v>
      </c>
      <c r="D448" s="16" t="s">
        <v>390</v>
      </c>
      <c r="E448" s="17">
        <v>48.031599999999997</v>
      </c>
      <c r="F448" s="17">
        <v>-122.789</v>
      </c>
      <c r="G448" s="23" t="str">
        <f>MakeLocationsCode(E448,F448)</f>
        <v>E7NA-V76O</v>
      </c>
    </row>
    <row r="449" spans="1:7" ht="15.6" x14ac:dyDescent="0.45">
      <c r="A449" s="16" t="s">
        <v>492</v>
      </c>
      <c r="B449" s="16" t="s">
        <v>21</v>
      </c>
      <c r="C449" s="16" t="s">
        <v>22</v>
      </c>
      <c r="D449" s="16" t="s">
        <v>390</v>
      </c>
      <c r="E449" s="17">
        <v>48.057000000000002</v>
      </c>
      <c r="F449" s="17">
        <v>-122.6938</v>
      </c>
      <c r="G449" s="23" t="str">
        <f>MakeLocationsCode(E449,F449)</f>
        <v>E7NA-XHTQ</v>
      </c>
    </row>
    <row r="450" spans="1:7" ht="15.6" x14ac:dyDescent="0.45">
      <c r="A450" s="16" t="s">
        <v>493</v>
      </c>
      <c r="B450" s="16" t="s">
        <v>21</v>
      </c>
      <c r="C450" s="16" t="s">
        <v>22</v>
      </c>
      <c r="D450" s="16" t="s">
        <v>320</v>
      </c>
      <c r="E450" s="17">
        <v>47.757399999999997</v>
      </c>
      <c r="F450" s="17">
        <v>-122.2864</v>
      </c>
      <c r="G450" s="23" t="str">
        <f>MakeLocationsCode(E450,F450)</f>
        <v>E7NB-2Q5V</v>
      </c>
    </row>
    <row r="451" spans="1:7" ht="15.6" x14ac:dyDescent="0.45">
      <c r="A451" s="16" t="s">
        <v>494</v>
      </c>
      <c r="B451" s="16" t="s">
        <v>21</v>
      </c>
      <c r="C451" s="16" t="s">
        <v>22</v>
      </c>
      <c r="D451" s="16" t="s">
        <v>320</v>
      </c>
      <c r="E451" s="17">
        <v>47.773499999999999</v>
      </c>
      <c r="F451" s="17">
        <v>-122.20440000000001</v>
      </c>
      <c r="G451" s="23" t="str">
        <f>MakeLocationsCode(E451,F451)</f>
        <v>E7NB-3ZTK</v>
      </c>
    </row>
    <row r="452" spans="1:7" ht="15.6" x14ac:dyDescent="0.45">
      <c r="A452" s="16" t="s">
        <v>495</v>
      </c>
      <c r="B452" s="16" t="s">
        <v>21</v>
      </c>
      <c r="C452" s="16" t="s">
        <v>22</v>
      </c>
      <c r="D452" s="16" t="s">
        <v>300</v>
      </c>
      <c r="E452" s="17">
        <v>47.792700000000004</v>
      </c>
      <c r="F452" s="17">
        <v>-122.5078</v>
      </c>
      <c r="G452" s="23" t="str">
        <f>MakeLocationsCode(E452,F452)</f>
        <v>E7NB-53UG</v>
      </c>
    </row>
    <row r="453" spans="1:7" ht="15.6" x14ac:dyDescent="0.45">
      <c r="A453" s="16" t="s">
        <v>496</v>
      </c>
      <c r="B453" s="16" t="s">
        <v>21</v>
      </c>
      <c r="C453" s="16" t="s">
        <v>22</v>
      </c>
      <c r="D453" s="16" t="s">
        <v>497</v>
      </c>
      <c r="E453" s="17">
        <v>47.790399999999998</v>
      </c>
      <c r="F453" s="17">
        <v>-122.38509999999999</v>
      </c>
      <c r="G453" s="23" t="str">
        <f>MakeLocationsCode(E453,F453)</f>
        <v>E7NB-5GLG</v>
      </c>
    </row>
    <row r="454" spans="1:7" ht="15.6" x14ac:dyDescent="0.45">
      <c r="A454" s="16" t="s">
        <v>498</v>
      </c>
      <c r="B454" s="16" t="s">
        <v>21</v>
      </c>
      <c r="C454" s="16" t="s">
        <v>22</v>
      </c>
      <c r="D454" s="16" t="s">
        <v>497</v>
      </c>
      <c r="E454" s="17">
        <v>47.793700000000001</v>
      </c>
      <c r="F454" s="17">
        <v>-122.34690000000001</v>
      </c>
      <c r="G454" s="23" t="str">
        <f>MakeLocationsCode(E454,F454)</f>
        <v>E7NB-5KXH</v>
      </c>
    </row>
    <row r="455" spans="1:7" ht="15.6" x14ac:dyDescent="0.45">
      <c r="A455" s="16" t="s">
        <v>499</v>
      </c>
      <c r="B455" s="16" t="s">
        <v>21</v>
      </c>
      <c r="C455" s="16" t="s">
        <v>22</v>
      </c>
      <c r="D455" s="16" t="s">
        <v>497</v>
      </c>
      <c r="E455" s="17">
        <v>47.792099999999998</v>
      </c>
      <c r="F455" s="17">
        <v>-122.3077</v>
      </c>
      <c r="G455" s="23" t="str">
        <f>MakeLocationsCode(E455,F455)</f>
        <v>E7NB-5OSM</v>
      </c>
    </row>
    <row r="456" spans="1:7" ht="15.6" x14ac:dyDescent="0.45">
      <c r="A456" s="16" t="s">
        <v>500</v>
      </c>
      <c r="B456" s="16" t="s">
        <v>21</v>
      </c>
      <c r="C456" s="16" t="s">
        <v>22</v>
      </c>
      <c r="D456" s="16" t="s">
        <v>497</v>
      </c>
      <c r="E456" s="17">
        <v>47.792400000000001</v>
      </c>
      <c r="F456" s="17">
        <v>-122.2734</v>
      </c>
      <c r="G456" s="23" t="str">
        <f>MakeLocationsCode(E456,F456)</f>
        <v>E7NB-5STA</v>
      </c>
    </row>
    <row r="457" spans="1:7" ht="15.6" x14ac:dyDescent="0.45">
      <c r="A457" s="16" t="s">
        <v>501</v>
      </c>
      <c r="B457" s="16" t="s">
        <v>21</v>
      </c>
      <c r="C457" s="16" t="s">
        <v>22</v>
      </c>
      <c r="D457" s="16" t="s">
        <v>497</v>
      </c>
      <c r="E457" s="17">
        <v>47.811500000000002</v>
      </c>
      <c r="F457" s="17">
        <v>-122.3533</v>
      </c>
      <c r="G457" s="23" t="str">
        <f>MakeLocationsCode(E457,F457)</f>
        <v>E7NB-7JTS</v>
      </c>
    </row>
    <row r="458" spans="1:7" ht="15.6" x14ac:dyDescent="0.45">
      <c r="A458" s="16" t="s">
        <v>502</v>
      </c>
      <c r="B458" s="16" t="s">
        <v>21</v>
      </c>
      <c r="C458" s="16" t="s">
        <v>22</v>
      </c>
      <c r="D458" s="16" t="s">
        <v>497</v>
      </c>
      <c r="E458" s="17">
        <v>47.805599999999998</v>
      </c>
      <c r="F458" s="17">
        <v>-122.2401</v>
      </c>
      <c r="G458" s="23" t="str">
        <f>MakeLocationsCode(E458,F458)</f>
        <v>E7NB-7V8S</v>
      </c>
    </row>
    <row r="459" spans="1:7" ht="15.6" x14ac:dyDescent="0.45">
      <c r="A459" s="16" t="s">
        <v>503</v>
      </c>
      <c r="B459" s="16" t="s">
        <v>21</v>
      </c>
      <c r="C459" s="16" t="s">
        <v>22</v>
      </c>
      <c r="D459" s="16" t="s">
        <v>497</v>
      </c>
      <c r="E459" s="17">
        <v>47.814599999999999</v>
      </c>
      <c r="F459" s="17">
        <v>-122.2672</v>
      </c>
      <c r="G459" s="23" t="str">
        <f>MakeLocationsCode(E459,F459)</f>
        <v>E7NB-8S7W</v>
      </c>
    </row>
    <row r="460" spans="1:7" ht="15.6" x14ac:dyDescent="0.45">
      <c r="A460" s="16" t="s">
        <v>504</v>
      </c>
      <c r="B460" s="16" t="s">
        <v>21</v>
      </c>
      <c r="C460" s="16" t="s">
        <v>22</v>
      </c>
      <c r="D460" s="16" t="s">
        <v>497</v>
      </c>
      <c r="E460" s="17">
        <v>47.828400000000002</v>
      </c>
      <c r="F460" s="17">
        <v>-122.30329999999999</v>
      </c>
      <c r="G460" s="23" t="str">
        <f>MakeLocationsCode(E460,F460)</f>
        <v>E7NB-9PM4</v>
      </c>
    </row>
    <row r="461" spans="1:7" ht="15.6" x14ac:dyDescent="0.45">
      <c r="A461" s="16" t="s">
        <v>505</v>
      </c>
      <c r="B461" s="16" t="s">
        <v>21</v>
      </c>
      <c r="C461" s="16" t="s">
        <v>22</v>
      </c>
      <c r="D461" s="16" t="s">
        <v>497</v>
      </c>
      <c r="E461" s="17">
        <v>47.8429</v>
      </c>
      <c r="F461" s="17">
        <v>-122.25279999999999</v>
      </c>
      <c r="G461" s="23" t="str">
        <f>MakeLocationsCode(E461,F461)</f>
        <v>E7NB-BU6G</v>
      </c>
    </row>
    <row r="462" spans="1:7" ht="15.6" x14ac:dyDescent="0.45">
      <c r="A462" s="16" t="s">
        <v>506</v>
      </c>
      <c r="B462" s="16" t="s">
        <v>21</v>
      </c>
      <c r="C462" s="16" t="s">
        <v>22</v>
      </c>
      <c r="D462" s="16" t="s">
        <v>497</v>
      </c>
      <c r="E462" s="17">
        <v>47.847900000000003</v>
      </c>
      <c r="F462" s="17">
        <v>-122.23269999999999</v>
      </c>
      <c r="G462" s="23" t="str">
        <f>MakeLocationsCode(E462,F462)</f>
        <v>E7NB-BWOK</v>
      </c>
    </row>
    <row r="463" spans="1:7" ht="15.6" x14ac:dyDescent="0.45">
      <c r="A463" s="16" t="s">
        <v>507</v>
      </c>
      <c r="B463" s="16" t="s">
        <v>21</v>
      </c>
      <c r="C463" s="16" t="s">
        <v>22</v>
      </c>
      <c r="D463" s="16" t="s">
        <v>497</v>
      </c>
      <c r="E463" s="17">
        <v>47.8583</v>
      </c>
      <c r="F463" s="17">
        <v>-122.316</v>
      </c>
      <c r="G463" s="23" t="str">
        <f>MakeLocationsCode(E463,F463)</f>
        <v>E7NB-CNSQ</v>
      </c>
    </row>
    <row r="464" spans="1:7" ht="15.6" x14ac:dyDescent="0.45">
      <c r="A464" s="16" t="s">
        <v>508</v>
      </c>
      <c r="B464" s="16" t="s">
        <v>21</v>
      </c>
      <c r="C464" s="16" t="s">
        <v>22</v>
      </c>
      <c r="D464" s="16" t="s">
        <v>497</v>
      </c>
      <c r="E464" s="17">
        <v>47.853299999999997</v>
      </c>
      <c r="F464" s="17">
        <v>-122.2762</v>
      </c>
      <c r="G464" s="23" t="str">
        <f>MakeLocationsCode(E464,F464)</f>
        <v>E7NB-CRAY</v>
      </c>
    </row>
    <row r="465" spans="1:7" ht="15.6" x14ac:dyDescent="0.45">
      <c r="A465" s="16" t="s">
        <v>509</v>
      </c>
      <c r="B465" s="16" t="s">
        <v>21</v>
      </c>
      <c r="C465" s="16" t="s">
        <v>22</v>
      </c>
      <c r="D465" s="16" t="s">
        <v>497</v>
      </c>
      <c r="E465" s="17">
        <v>47.863100000000003</v>
      </c>
      <c r="F465" s="17">
        <v>-122.2037</v>
      </c>
      <c r="G465" s="23" t="str">
        <f>MakeLocationsCode(E465,F465)</f>
        <v>E7NB-DZBN</v>
      </c>
    </row>
    <row r="466" spans="1:7" ht="15.6" x14ac:dyDescent="0.45">
      <c r="A466" s="16" t="s">
        <v>510</v>
      </c>
      <c r="B466" s="16" t="s">
        <v>21</v>
      </c>
      <c r="C466" s="16" t="s">
        <v>22</v>
      </c>
      <c r="D466" s="16" t="s">
        <v>497</v>
      </c>
      <c r="E466" s="17">
        <v>47.874400000000001</v>
      </c>
      <c r="F466" s="17">
        <v>-122.3077</v>
      </c>
      <c r="G466" s="23" t="str">
        <f>MakeLocationsCode(E466,F466)</f>
        <v>E7NB-EOIM</v>
      </c>
    </row>
    <row r="467" spans="1:7" ht="15.6" x14ac:dyDescent="0.45">
      <c r="A467" s="16" t="s">
        <v>511</v>
      </c>
      <c r="B467" s="16" t="s">
        <v>21</v>
      </c>
      <c r="C467" s="16" t="s">
        <v>22</v>
      </c>
      <c r="D467" s="16" t="s">
        <v>497</v>
      </c>
      <c r="E467" s="17">
        <v>47.8733</v>
      </c>
      <c r="F467" s="17">
        <v>-122.2582</v>
      </c>
      <c r="G467" s="23" t="str">
        <f>MakeLocationsCode(E467,F467)</f>
        <v>E7NB-ETEU</v>
      </c>
    </row>
    <row r="468" spans="1:7" ht="15.6" x14ac:dyDescent="0.45">
      <c r="A468" s="16" t="s">
        <v>512</v>
      </c>
      <c r="B468" s="16" t="s">
        <v>21</v>
      </c>
      <c r="C468" s="16" t="s">
        <v>22</v>
      </c>
      <c r="D468" s="16" t="s">
        <v>497</v>
      </c>
      <c r="E468" s="17">
        <v>47.909599999999998</v>
      </c>
      <c r="F468" s="17">
        <v>-122.3035</v>
      </c>
      <c r="G468" s="23" t="str">
        <f>MakeLocationsCode(E468,F468)</f>
        <v>E7NB-IP93</v>
      </c>
    </row>
    <row r="469" spans="1:7" ht="15.6" x14ac:dyDescent="0.45">
      <c r="A469" s="16" t="s">
        <v>513</v>
      </c>
      <c r="B469" s="16" t="s">
        <v>21</v>
      </c>
      <c r="C469" s="16" t="s">
        <v>22</v>
      </c>
      <c r="D469" s="16" t="s">
        <v>490</v>
      </c>
      <c r="E469" s="17">
        <v>47.973100000000002</v>
      </c>
      <c r="F469" s="17">
        <v>-122.35769999999999</v>
      </c>
      <c r="G469" s="23" t="str">
        <f>MakeLocationsCode(E469,F469)</f>
        <v>E7NB-OJXC</v>
      </c>
    </row>
    <row r="470" spans="1:7" ht="15.6" x14ac:dyDescent="0.45">
      <c r="A470" s="16" t="s">
        <v>514</v>
      </c>
      <c r="B470" s="16" t="s">
        <v>21</v>
      </c>
      <c r="C470" s="16" t="s">
        <v>22</v>
      </c>
      <c r="D470" s="16" t="s">
        <v>497</v>
      </c>
      <c r="E470" s="17">
        <v>48.012999999999998</v>
      </c>
      <c r="F470" s="17">
        <v>-122.3201</v>
      </c>
      <c r="G470" s="23" t="str">
        <f>MakeLocationsCode(E470,F470)</f>
        <v>E7NB-TN7C</v>
      </c>
    </row>
    <row r="471" spans="1:7" ht="15.6" x14ac:dyDescent="0.45">
      <c r="A471" s="16" t="s">
        <v>515</v>
      </c>
      <c r="B471" s="16" t="s">
        <v>21</v>
      </c>
      <c r="C471" s="16" t="s">
        <v>22</v>
      </c>
      <c r="D471" s="16" t="s">
        <v>490</v>
      </c>
      <c r="E471" s="17">
        <v>48.033700000000003</v>
      </c>
      <c r="F471" s="17">
        <v>-122.4084</v>
      </c>
      <c r="G471" s="23" t="str">
        <f>MakeLocationsCode(E471,F471)</f>
        <v>E7NB-VDDY</v>
      </c>
    </row>
    <row r="472" spans="1:7" ht="15.6" x14ac:dyDescent="0.45">
      <c r="A472" s="16" t="s">
        <v>516</v>
      </c>
      <c r="B472" s="16" t="s">
        <v>21</v>
      </c>
      <c r="C472" s="16" t="s">
        <v>22</v>
      </c>
      <c r="D472" s="16" t="s">
        <v>320</v>
      </c>
      <c r="E472" s="17">
        <v>47.756999999999998</v>
      </c>
      <c r="F472" s="17">
        <v>-122.1477</v>
      </c>
      <c r="G472" s="23" t="str">
        <f>MakeLocationsCode(E472,F472)</f>
        <v>E7NC-273K</v>
      </c>
    </row>
    <row r="473" spans="1:7" ht="15.6" x14ac:dyDescent="0.45">
      <c r="A473" s="16" t="s">
        <v>517</v>
      </c>
      <c r="B473" s="16" t="s">
        <v>21</v>
      </c>
      <c r="C473" s="16" t="s">
        <v>22</v>
      </c>
      <c r="D473" s="16" t="s">
        <v>497</v>
      </c>
      <c r="E473" s="17">
        <v>47.802700000000002</v>
      </c>
      <c r="F473" s="17">
        <v>-122.1044</v>
      </c>
      <c r="G473" s="23" t="str">
        <f>MakeLocationsCode(E473,F473)</f>
        <v>E7NC-6CW6</v>
      </c>
    </row>
    <row r="474" spans="1:7" ht="15.6" x14ac:dyDescent="0.45">
      <c r="A474" s="16" t="s">
        <v>518</v>
      </c>
      <c r="B474" s="16" t="s">
        <v>21</v>
      </c>
      <c r="C474" s="16" t="s">
        <v>22</v>
      </c>
      <c r="D474" s="16" t="s">
        <v>497</v>
      </c>
      <c r="E474" s="17">
        <v>47.796799999999998</v>
      </c>
      <c r="F474" s="17">
        <v>-122.02809999999999</v>
      </c>
      <c r="G474" s="23" t="str">
        <f>MakeLocationsCode(E474,F474)</f>
        <v>E7NC-6KA9</v>
      </c>
    </row>
    <row r="475" spans="1:7" ht="15.6" x14ac:dyDescent="0.45">
      <c r="A475" s="16" t="s">
        <v>519</v>
      </c>
      <c r="B475" s="16" t="s">
        <v>21</v>
      </c>
      <c r="C475" s="16" t="s">
        <v>22</v>
      </c>
      <c r="D475" s="16" t="s">
        <v>497</v>
      </c>
      <c r="E475" s="17">
        <v>47.806399999999996</v>
      </c>
      <c r="F475" s="17">
        <v>-122.1844</v>
      </c>
      <c r="G475" s="23" t="str">
        <f>MakeLocationsCode(E475,F475)</f>
        <v>E7NC-73BO</v>
      </c>
    </row>
    <row r="476" spans="1:7" ht="15.6" x14ac:dyDescent="0.45">
      <c r="A476" s="16" t="s">
        <v>520</v>
      </c>
      <c r="B476" s="16" t="s">
        <v>21</v>
      </c>
      <c r="C476" s="16" t="s">
        <v>22</v>
      </c>
      <c r="D476" s="16" t="s">
        <v>497</v>
      </c>
      <c r="E476" s="17">
        <v>47.8292</v>
      </c>
      <c r="F476" s="17">
        <v>-122.1451</v>
      </c>
      <c r="G476" s="23" t="str">
        <f>MakeLocationsCode(E476,F476)</f>
        <v>E7NC-97PU</v>
      </c>
    </row>
    <row r="477" spans="1:7" ht="15.6" x14ac:dyDescent="0.45">
      <c r="A477" s="16" t="s">
        <v>521</v>
      </c>
      <c r="B477" s="16" t="s">
        <v>21</v>
      </c>
      <c r="C477" s="16" t="s">
        <v>22</v>
      </c>
      <c r="D477" s="16" t="s">
        <v>497</v>
      </c>
      <c r="E477" s="17">
        <v>47.836100000000002</v>
      </c>
      <c r="F477" s="17">
        <v>-122.18770000000001</v>
      </c>
      <c r="G477" s="23" t="str">
        <f>MakeLocationsCode(E477,F477)</f>
        <v>E7NC-A3GC</v>
      </c>
    </row>
    <row r="478" spans="1:7" ht="15.6" x14ac:dyDescent="0.45">
      <c r="A478" s="16" t="s">
        <v>522</v>
      </c>
      <c r="B478" s="16" t="s">
        <v>21</v>
      </c>
      <c r="C478" s="16" t="s">
        <v>22</v>
      </c>
      <c r="D478" s="16" t="s">
        <v>497</v>
      </c>
      <c r="E478" s="17">
        <v>47.852600000000002</v>
      </c>
      <c r="F478" s="17">
        <v>-122.1058</v>
      </c>
      <c r="G478" s="23" t="str">
        <f>MakeLocationsCode(E478,F478)</f>
        <v>E7NC-CB7Z</v>
      </c>
    </row>
    <row r="479" spans="1:7" ht="15.6" x14ac:dyDescent="0.45">
      <c r="A479" s="16" t="s">
        <v>523</v>
      </c>
      <c r="B479" s="16" t="s">
        <v>21</v>
      </c>
      <c r="C479" s="16" t="s">
        <v>22</v>
      </c>
      <c r="D479" s="16" t="s">
        <v>497</v>
      </c>
      <c r="E479" s="17">
        <v>47.859499999999997</v>
      </c>
      <c r="F479" s="17">
        <v>-121.9851</v>
      </c>
      <c r="G479" s="23" t="str">
        <f>MakeLocationsCode(E479,F479)</f>
        <v>E7NC-COWS</v>
      </c>
    </row>
    <row r="480" spans="1:7" ht="15.6" x14ac:dyDescent="0.45">
      <c r="A480" s="16" t="s">
        <v>524</v>
      </c>
      <c r="B480" s="16" t="s">
        <v>21</v>
      </c>
      <c r="C480" s="16" t="s">
        <v>22</v>
      </c>
      <c r="D480" s="16" t="s">
        <v>497</v>
      </c>
      <c r="E480" s="17">
        <v>47.863500000000002</v>
      </c>
      <c r="F480" s="17">
        <v>-122.1497</v>
      </c>
      <c r="G480" s="23" t="str">
        <f>MakeLocationsCode(E480,F480)</f>
        <v>E7NC-D7DD</v>
      </c>
    </row>
    <row r="481" spans="1:7" ht="15.6" x14ac:dyDescent="0.45">
      <c r="A481" s="16" t="s">
        <v>525</v>
      </c>
      <c r="B481" s="16" t="s">
        <v>21</v>
      </c>
      <c r="C481" s="16" t="s">
        <v>22</v>
      </c>
      <c r="D481" s="16" t="s">
        <v>497</v>
      </c>
      <c r="E481" s="17">
        <v>47.882800000000003</v>
      </c>
      <c r="F481" s="17">
        <v>-121.98860000000001</v>
      </c>
      <c r="G481" s="23" t="str">
        <f>MakeLocationsCode(E481,F481)</f>
        <v>E7NC-FOEF</v>
      </c>
    </row>
    <row r="482" spans="1:7" ht="15.6" x14ac:dyDescent="0.45">
      <c r="A482" s="16" t="s">
        <v>526</v>
      </c>
      <c r="B482" s="16" t="s">
        <v>21</v>
      </c>
      <c r="C482" s="16" t="s">
        <v>22</v>
      </c>
      <c r="D482" s="16" t="s">
        <v>497</v>
      </c>
      <c r="E482" s="17">
        <v>47.882199999999997</v>
      </c>
      <c r="F482" s="17">
        <v>-121.8981</v>
      </c>
      <c r="G482" s="23" t="str">
        <f>MakeLocationsCode(E482,F482)</f>
        <v>E7NC-FXCZ</v>
      </c>
    </row>
    <row r="483" spans="1:7" ht="15.6" x14ac:dyDescent="0.45">
      <c r="A483" s="16" t="s">
        <v>527</v>
      </c>
      <c r="B483" s="16" t="s">
        <v>21</v>
      </c>
      <c r="C483" s="16" t="s">
        <v>22</v>
      </c>
      <c r="D483" s="16" t="s">
        <v>497</v>
      </c>
      <c r="E483" s="17">
        <v>47.896799999999999</v>
      </c>
      <c r="F483" s="17">
        <v>-122.1818</v>
      </c>
      <c r="G483" s="23" t="str">
        <f>MakeLocationsCode(E483,F483)</f>
        <v>E7NC-G3UY</v>
      </c>
    </row>
    <row r="484" spans="1:7" ht="15.6" x14ac:dyDescent="0.45">
      <c r="A484" s="16" t="s">
        <v>528</v>
      </c>
      <c r="B484" s="16" t="s">
        <v>21</v>
      </c>
      <c r="C484" s="16" t="s">
        <v>22</v>
      </c>
      <c r="D484" s="16" t="s">
        <v>497</v>
      </c>
      <c r="E484" s="17">
        <v>47.902799999999999</v>
      </c>
      <c r="F484" s="17">
        <v>-121.985</v>
      </c>
      <c r="G484" s="23" t="str">
        <f>MakeLocationsCode(E484,F484)</f>
        <v>E7NC-HOIS</v>
      </c>
    </row>
    <row r="485" spans="1:7" ht="15.6" x14ac:dyDescent="0.45">
      <c r="A485" s="16" t="s">
        <v>497</v>
      </c>
      <c r="B485" s="16" t="s">
        <v>21</v>
      </c>
      <c r="C485" s="16" t="s">
        <v>22</v>
      </c>
      <c r="D485" s="16" t="s">
        <v>497</v>
      </c>
      <c r="E485" s="17">
        <v>47.927599999999998</v>
      </c>
      <c r="F485" s="17">
        <v>-122.09690000000001</v>
      </c>
      <c r="G485" s="23" t="str">
        <f>MakeLocationsCode(E485,F485)</f>
        <v>E7NC-KC5X</v>
      </c>
    </row>
    <row r="486" spans="1:7" ht="15.6" x14ac:dyDescent="0.45">
      <c r="A486" s="16" t="s">
        <v>529</v>
      </c>
      <c r="B486" s="16" t="s">
        <v>21</v>
      </c>
      <c r="C486" s="16" t="s">
        <v>22</v>
      </c>
      <c r="D486" s="16" t="s">
        <v>497</v>
      </c>
      <c r="E486" s="17">
        <v>47.9392</v>
      </c>
      <c r="F486" s="17">
        <v>-122.1341</v>
      </c>
      <c r="G486" s="23" t="str">
        <f>MakeLocationsCode(E486,F486)</f>
        <v>E7NC-L8DZ</v>
      </c>
    </row>
    <row r="487" spans="1:7" ht="15.6" x14ac:dyDescent="0.45">
      <c r="A487" s="16" t="s">
        <v>530</v>
      </c>
      <c r="B487" s="16" t="s">
        <v>21</v>
      </c>
      <c r="C487" s="16" t="s">
        <v>22</v>
      </c>
      <c r="D487" s="16" t="s">
        <v>497</v>
      </c>
      <c r="E487" s="17">
        <v>47.942</v>
      </c>
      <c r="F487" s="17">
        <v>-121.9924</v>
      </c>
      <c r="G487" s="23" t="str">
        <f>MakeLocationsCode(E487,F487)</f>
        <v>E7NC-LNNZ</v>
      </c>
    </row>
    <row r="488" spans="1:7" ht="15.6" x14ac:dyDescent="0.45">
      <c r="A488" s="16" t="s">
        <v>531</v>
      </c>
      <c r="B488" s="16" t="s">
        <v>21</v>
      </c>
      <c r="C488" s="16" t="s">
        <v>22</v>
      </c>
      <c r="D488" s="16" t="s">
        <v>497</v>
      </c>
      <c r="E488" s="17">
        <v>47.952500000000001</v>
      </c>
      <c r="F488" s="17">
        <v>-122.1669</v>
      </c>
      <c r="G488" s="23" t="str">
        <f>MakeLocationsCode(E488,F488)</f>
        <v>E7NC-M5RJ</v>
      </c>
    </row>
    <row r="489" spans="1:7" ht="15.6" x14ac:dyDescent="0.45">
      <c r="A489" s="16" t="s">
        <v>532</v>
      </c>
      <c r="B489" s="16" t="s">
        <v>21</v>
      </c>
      <c r="C489" s="16" t="s">
        <v>22</v>
      </c>
      <c r="D489" s="16" t="s">
        <v>497</v>
      </c>
      <c r="E489" s="17">
        <v>47.961799999999997</v>
      </c>
      <c r="F489" s="17">
        <v>-122.09439999999999</v>
      </c>
      <c r="G489" s="23" t="str">
        <f>MakeLocationsCode(E489,F489)</f>
        <v>E7NC-NDQ8</v>
      </c>
    </row>
    <row r="490" spans="1:7" ht="15.6" x14ac:dyDescent="0.45">
      <c r="A490" s="16" t="s">
        <v>533</v>
      </c>
      <c r="B490" s="16" t="s">
        <v>21</v>
      </c>
      <c r="C490" s="16" t="s">
        <v>22</v>
      </c>
      <c r="D490" s="16" t="s">
        <v>497</v>
      </c>
      <c r="E490" s="17">
        <v>47.987499999999997</v>
      </c>
      <c r="F490" s="17">
        <v>-122.0748</v>
      </c>
      <c r="G490" s="23" t="str">
        <f>MakeLocationsCode(E490,F490)</f>
        <v>E7NC-QFHB</v>
      </c>
    </row>
    <row r="491" spans="1:7" ht="15.6" x14ac:dyDescent="0.45">
      <c r="A491" s="16" t="s">
        <v>534</v>
      </c>
      <c r="B491" s="16" t="s">
        <v>21</v>
      </c>
      <c r="C491" s="16" t="s">
        <v>22</v>
      </c>
      <c r="D491" s="16" t="s">
        <v>497</v>
      </c>
      <c r="E491" s="17">
        <v>47.991799999999998</v>
      </c>
      <c r="F491" s="17">
        <v>-122.0517</v>
      </c>
      <c r="G491" s="23" t="str">
        <f>MakeLocationsCode(E491,F491)</f>
        <v>E7NC-QHWQ</v>
      </c>
    </row>
    <row r="492" spans="1:7" ht="15.6" x14ac:dyDescent="0.45">
      <c r="A492" s="16" t="s">
        <v>535</v>
      </c>
      <c r="B492" s="16" t="s">
        <v>21</v>
      </c>
      <c r="C492" s="16" t="s">
        <v>22</v>
      </c>
      <c r="D492" s="16" t="s">
        <v>497</v>
      </c>
      <c r="E492" s="17">
        <v>47.983699999999999</v>
      </c>
      <c r="F492" s="17">
        <v>-121.9128</v>
      </c>
      <c r="G492" s="23" t="str">
        <f>MakeLocationsCode(E492,F492)</f>
        <v>E7NC-QW3G</v>
      </c>
    </row>
    <row r="493" spans="1:7" ht="15.6" x14ac:dyDescent="0.45">
      <c r="A493" s="16" t="s">
        <v>536</v>
      </c>
      <c r="B493" s="16" t="s">
        <v>21</v>
      </c>
      <c r="C493" s="16" t="s">
        <v>22</v>
      </c>
      <c r="D493" s="16" t="s">
        <v>497</v>
      </c>
      <c r="E493" s="17">
        <v>48.002400000000002</v>
      </c>
      <c r="F493" s="17">
        <v>-122.09529999999999</v>
      </c>
      <c r="G493" s="23" t="str">
        <f>MakeLocationsCode(E493,F493)</f>
        <v>E7NC-SD35</v>
      </c>
    </row>
    <row r="494" spans="1:7" ht="15.6" x14ac:dyDescent="0.45">
      <c r="A494" s="16" t="s">
        <v>537</v>
      </c>
      <c r="B494" s="16" t="s">
        <v>21</v>
      </c>
      <c r="C494" s="16" t="s">
        <v>22</v>
      </c>
      <c r="D494" s="16" t="s">
        <v>497</v>
      </c>
      <c r="E494" s="17">
        <v>48.055300000000003</v>
      </c>
      <c r="F494" s="17">
        <v>-121.9811</v>
      </c>
      <c r="G494" s="23" t="str">
        <f>MakeLocationsCode(E494,F494)</f>
        <v>E7NC-XPN8</v>
      </c>
    </row>
    <row r="495" spans="1:7" ht="15.6" x14ac:dyDescent="0.45">
      <c r="A495" s="16" t="s">
        <v>538</v>
      </c>
      <c r="B495" s="16" t="s">
        <v>21</v>
      </c>
      <c r="C495" s="16" t="s">
        <v>22</v>
      </c>
      <c r="D495" s="16" t="s">
        <v>497</v>
      </c>
      <c r="E495" s="17">
        <v>48.063899999999997</v>
      </c>
      <c r="F495" s="17">
        <v>-122.092</v>
      </c>
      <c r="G495" s="23" t="str">
        <f>MakeLocationsCode(E495,F495)</f>
        <v>E7NC-YDKH</v>
      </c>
    </row>
    <row r="496" spans="1:7" ht="15.6" x14ac:dyDescent="0.45">
      <c r="A496" s="16" t="s">
        <v>539</v>
      </c>
      <c r="B496" s="16" t="s">
        <v>21</v>
      </c>
      <c r="C496" s="16" t="s">
        <v>22</v>
      </c>
      <c r="D496" s="16" t="s">
        <v>497</v>
      </c>
      <c r="E496" s="17">
        <v>48.059800000000003</v>
      </c>
      <c r="F496" s="17">
        <v>-122.0411</v>
      </c>
      <c r="G496" s="23" t="str">
        <f>MakeLocationsCode(E496,F496)</f>
        <v>E7NC-YI5U</v>
      </c>
    </row>
    <row r="497" spans="1:7" ht="15.6" x14ac:dyDescent="0.45">
      <c r="A497" s="16" t="s">
        <v>540</v>
      </c>
      <c r="B497" s="16" t="s">
        <v>21</v>
      </c>
      <c r="C497" s="16" t="s">
        <v>22</v>
      </c>
      <c r="D497" s="16" t="s">
        <v>497</v>
      </c>
      <c r="E497" s="17">
        <v>47.856299999999997</v>
      </c>
      <c r="F497" s="17">
        <v>-121.6921</v>
      </c>
      <c r="G497" s="23" t="str">
        <f>MakeLocationsCode(E497,F497)</f>
        <v>E7ND-CLLS</v>
      </c>
    </row>
    <row r="498" spans="1:7" ht="15.6" x14ac:dyDescent="0.45">
      <c r="A498" s="16" t="s">
        <v>541</v>
      </c>
      <c r="B498" s="16" t="s">
        <v>21</v>
      </c>
      <c r="C498" s="16" t="s">
        <v>22</v>
      </c>
      <c r="D498" s="16" t="s">
        <v>497</v>
      </c>
      <c r="E498" s="17">
        <v>47.855499999999999</v>
      </c>
      <c r="F498" s="17">
        <v>-121.67449999999999</v>
      </c>
      <c r="G498" s="23" t="str">
        <f>MakeLocationsCode(E498,F498)</f>
        <v>E7ND-CNIO</v>
      </c>
    </row>
    <row r="499" spans="1:7" ht="15.6" x14ac:dyDescent="0.45">
      <c r="A499" s="16" t="s">
        <v>542</v>
      </c>
      <c r="B499" s="16" t="s">
        <v>21</v>
      </c>
      <c r="C499" s="16" t="s">
        <v>22</v>
      </c>
      <c r="D499" s="16" t="s">
        <v>497</v>
      </c>
      <c r="E499" s="17">
        <v>47.8673</v>
      </c>
      <c r="F499" s="17">
        <v>-121.7501</v>
      </c>
      <c r="G499" s="23" t="str">
        <f>MakeLocationsCode(E499,F499)</f>
        <v>E7ND-DFQO</v>
      </c>
    </row>
    <row r="500" spans="1:7" ht="15.6" x14ac:dyDescent="0.45">
      <c r="A500" s="16" t="s">
        <v>543</v>
      </c>
      <c r="B500" s="16" t="s">
        <v>21</v>
      </c>
      <c r="C500" s="16" t="s">
        <v>22</v>
      </c>
      <c r="D500" s="16" t="s">
        <v>497</v>
      </c>
      <c r="E500" s="17">
        <v>47.871000000000002</v>
      </c>
      <c r="F500" s="17">
        <v>-121.8043</v>
      </c>
      <c r="G500" s="23" t="str">
        <f>MakeLocationsCode(E500,F500)</f>
        <v>E7ND-E96X</v>
      </c>
    </row>
    <row r="501" spans="1:7" ht="15.6" x14ac:dyDescent="0.45">
      <c r="A501" s="16" t="s">
        <v>544</v>
      </c>
      <c r="B501" s="16" t="s">
        <v>21</v>
      </c>
      <c r="C501" s="16" t="s">
        <v>22</v>
      </c>
      <c r="D501" s="16" t="s">
        <v>497</v>
      </c>
      <c r="E501" s="17">
        <v>47.882899999999999</v>
      </c>
      <c r="F501" s="17">
        <v>-121.8253</v>
      </c>
      <c r="G501" s="23" t="str">
        <f>MakeLocationsCode(E501,F501)</f>
        <v>E7ND-F7EP</v>
      </c>
    </row>
    <row r="502" spans="1:7" ht="15.6" x14ac:dyDescent="0.45">
      <c r="A502" s="16" t="s">
        <v>545</v>
      </c>
      <c r="B502" s="16" t="s">
        <v>21</v>
      </c>
      <c r="C502" s="16" t="s">
        <v>22</v>
      </c>
      <c r="D502" s="16" t="s">
        <v>320</v>
      </c>
      <c r="E502" s="17">
        <v>47.766100000000002</v>
      </c>
      <c r="F502" s="17">
        <v>-121.4803</v>
      </c>
      <c r="G502" s="23" t="str">
        <f>MakeLocationsCode(E502,F502)</f>
        <v>E7NE-3A29</v>
      </c>
    </row>
    <row r="503" spans="1:7" ht="15.6" x14ac:dyDescent="0.45">
      <c r="A503" s="16" t="s">
        <v>546</v>
      </c>
      <c r="B503" s="16" t="s">
        <v>21</v>
      </c>
      <c r="C503" s="16" t="s">
        <v>22</v>
      </c>
      <c r="D503" s="16" t="s">
        <v>497</v>
      </c>
      <c r="E503" s="17">
        <v>47.821199999999997</v>
      </c>
      <c r="F503" s="17">
        <v>-121.5561</v>
      </c>
      <c r="G503" s="23" t="str">
        <f>MakeLocationsCode(E503,F503)</f>
        <v>E7NE-82U8</v>
      </c>
    </row>
    <row r="504" spans="1:7" ht="15.6" x14ac:dyDescent="0.45">
      <c r="A504" s="16" t="s">
        <v>547</v>
      </c>
      <c r="B504" s="16" t="s">
        <v>21</v>
      </c>
      <c r="C504" s="16" t="s">
        <v>22</v>
      </c>
      <c r="D504" s="16" t="s">
        <v>357</v>
      </c>
      <c r="E504" s="17">
        <v>47.799399999999999</v>
      </c>
      <c r="F504" s="17">
        <v>-119.98820000000001</v>
      </c>
      <c r="G504" s="23" t="str">
        <f>MakeLocationsCode(E504,F504)</f>
        <v>E7NI-6WK8</v>
      </c>
    </row>
    <row r="505" spans="1:7" ht="15.6" x14ac:dyDescent="0.45">
      <c r="A505" s="16" t="s">
        <v>357</v>
      </c>
      <c r="B505" s="16" t="s">
        <v>21</v>
      </c>
      <c r="C505" s="16" t="s">
        <v>22</v>
      </c>
      <c r="D505" s="16" t="s">
        <v>357</v>
      </c>
      <c r="E505" s="17">
        <v>47.841500000000003</v>
      </c>
      <c r="F505" s="17">
        <v>-120.0262</v>
      </c>
      <c r="G505" s="23" t="str">
        <f>MakeLocationsCode(E505,F505)</f>
        <v>E7NI-ASZ8</v>
      </c>
    </row>
    <row r="506" spans="1:7" ht="15.6" x14ac:dyDescent="0.45">
      <c r="A506" s="16" t="s">
        <v>548</v>
      </c>
      <c r="B506" s="16" t="s">
        <v>21</v>
      </c>
      <c r="C506" s="16" t="s">
        <v>22</v>
      </c>
      <c r="D506" s="16" t="s">
        <v>357</v>
      </c>
      <c r="E506" s="17">
        <v>47.881599999999999</v>
      </c>
      <c r="F506" s="17">
        <v>-120.16200000000001</v>
      </c>
      <c r="G506" s="23" t="str">
        <f>MakeLocationsCode(E506,F506)</f>
        <v>E7NI-FDAT</v>
      </c>
    </row>
    <row r="507" spans="1:7" ht="15.6" x14ac:dyDescent="0.45">
      <c r="A507" s="16" t="s">
        <v>549</v>
      </c>
      <c r="B507" s="16" t="s">
        <v>21</v>
      </c>
      <c r="C507" s="16" t="s">
        <v>22</v>
      </c>
      <c r="D507" s="16" t="s">
        <v>359</v>
      </c>
      <c r="E507" s="17">
        <v>47.811900000000001</v>
      </c>
      <c r="F507" s="17">
        <v>-119.6379</v>
      </c>
      <c r="G507" s="23" t="str">
        <f>MakeLocationsCode(E507,F507)</f>
        <v>E7NJ-7ZVC</v>
      </c>
    </row>
    <row r="508" spans="1:7" ht="15.6" x14ac:dyDescent="0.45">
      <c r="A508" s="16" t="s">
        <v>550</v>
      </c>
      <c r="B508" s="16" t="s">
        <v>21</v>
      </c>
      <c r="C508" s="16" t="s">
        <v>22</v>
      </c>
      <c r="D508" s="16" t="s">
        <v>359</v>
      </c>
      <c r="E508" s="17">
        <v>48.006900000000002</v>
      </c>
      <c r="F508" s="17">
        <v>-119.6726</v>
      </c>
      <c r="G508" s="23" t="str">
        <f>MakeLocationsCode(E508,F508)</f>
        <v>E7NJ-SVJN</v>
      </c>
    </row>
    <row r="509" spans="1:7" ht="15.6" x14ac:dyDescent="0.45">
      <c r="A509" s="16" t="s">
        <v>551</v>
      </c>
      <c r="B509" s="16" t="s">
        <v>21</v>
      </c>
      <c r="C509" s="16" t="s">
        <v>22</v>
      </c>
      <c r="D509" s="16" t="s">
        <v>552</v>
      </c>
      <c r="E509" s="17">
        <v>48.053600000000003</v>
      </c>
      <c r="F509" s="17">
        <v>-119.8995</v>
      </c>
      <c r="G509" s="23" t="str">
        <f>MakeLocationsCode(E509,F509)</f>
        <v>E7NJ-X7HM</v>
      </c>
    </row>
    <row r="510" spans="1:7" ht="15.6" x14ac:dyDescent="0.45">
      <c r="A510" s="16" t="s">
        <v>553</v>
      </c>
      <c r="B510" s="16" t="s">
        <v>21</v>
      </c>
      <c r="C510" s="16" t="s">
        <v>22</v>
      </c>
      <c r="D510" s="16" t="s">
        <v>170</v>
      </c>
      <c r="E510" s="17">
        <v>47.921799999999998</v>
      </c>
      <c r="F510" s="17">
        <v>-119.0475</v>
      </c>
      <c r="G510" s="23" t="str">
        <f>MakeLocationsCode(E510,F510)</f>
        <v>E7NL-JTIT</v>
      </c>
    </row>
    <row r="511" spans="1:7" ht="15.6" x14ac:dyDescent="0.45">
      <c r="A511" s="16" t="s">
        <v>554</v>
      </c>
      <c r="B511" s="16" t="s">
        <v>21</v>
      </c>
      <c r="C511" s="16" t="s">
        <v>22</v>
      </c>
      <c r="D511" s="16" t="s">
        <v>170</v>
      </c>
      <c r="E511" s="17">
        <v>47.9392</v>
      </c>
      <c r="F511" s="17">
        <v>-119.0029</v>
      </c>
      <c r="G511" s="23" t="str">
        <f>MakeLocationsCode(E511,F511)</f>
        <v>E7NL-LYDK</v>
      </c>
    </row>
    <row r="512" spans="1:7" ht="15.6" x14ac:dyDescent="0.45">
      <c r="A512" s="16" t="s">
        <v>555</v>
      </c>
      <c r="B512" s="16" t="s">
        <v>21</v>
      </c>
      <c r="C512" s="16" t="s">
        <v>22</v>
      </c>
      <c r="D512" s="16" t="s">
        <v>372</v>
      </c>
      <c r="E512" s="17">
        <v>47.758099999999999</v>
      </c>
      <c r="F512" s="17">
        <v>-118.71169999999999</v>
      </c>
      <c r="G512" s="23" t="str">
        <f>MakeLocationsCode(E512,F512)</f>
        <v>E7NM-2V7E</v>
      </c>
    </row>
    <row r="513" spans="1:7" ht="15.6" x14ac:dyDescent="0.45">
      <c r="A513" s="16" t="s">
        <v>556</v>
      </c>
      <c r="B513" s="16" t="s">
        <v>21</v>
      </c>
      <c r="C513" s="16" t="s">
        <v>22</v>
      </c>
      <c r="D513" s="16" t="s">
        <v>552</v>
      </c>
      <c r="E513" s="17">
        <v>47.968899999999998</v>
      </c>
      <c r="F513" s="17">
        <v>-118.9759</v>
      </c>
      <c r="G513" s="23" t="str">
        <f>MakeLocationsCode(E513,F513)</f>
        <v>E7NM-O3IF</v>
      </c>
    </row>
    <row r="514" spans="1:7" ht="15.6" x14ac:dyDescent="0.45">
      <c r="A514" s="16" t="s">
        <v>557</v>
      </c>
      <c r="B514" s="16" t="s">
        <v>21</v>
      </c>
      <c r="C514" s="16" t="s">
        <v>22</v>
      </c>
      <c r="D514" s="16" t="s">
        <v>552</v>
      </c>
      <c r="E514" s="17">
        <v>47.999899999999997</v>
      </c>
      <c r="F514" s="17">
        <v>-118.95399999999999</v>
      </c>
      <c r="G514" s="23" t="str">
        <f>MakeLocationsCode(E514,F514)</f>
        <v>E7NM-R5SQ</v>
      </c>
    </row>
    <row r="515" spans="1:7" ht="15.6" x14ac:dyDescent="0.45">
      <c r="A515" s="16" t="s">
        <v>558</v>
      </c>
      <c r="B515" s="16" t="s">
        <v>21</v>
      </c>
      <c r="C515" s="16" t="s">
        <v>22</v>
      </c>
      <c r="D515" s="16" t="s">
        <v>372</v>
      </c>
      <c r="E515" s="17">
        <v>47.759399999999999</v>
      </c>
      <c r="F515" s="17">
        <v>-118.52</v>
      </c>
      <c r="G515" s="23" t="str">
        <f>MakeLocationsCode(E515,F515)</f>
        <v>E7NN-2HCO</v>
      </c>
    </row>
    <row r="516" spans="1:7" ht="15.6" x14ac:dyDescent="0.45">
      <c r="A516" s="16" t="s">
        <v>559</v>
      </c>
      <c r="B516" s="16" t="s">
        <v>21</v>
      </c>
      <c r="C516" s="16" t="s">
        <v>22</v>
      </c>
      <c r="D516" s="16" t="s">
        <v>560</v>
      </c>
      <c r="E516" s="17">
        <v>48.057200000000002</v>
      </c>
      <c r="F516" s="17">
        <v>-117.7466</v>
      </c>
      <c r="G516" s="23" t="str">
        <f>MakeLocationsCode(E516,F516)</f>
        <v>E7NP-XVUK</v>
      </c>
    </row>
    <row r="517" spans="1:7" ht="15.6" x14ac:dyDescent="0.45">
      <c r="A517" s="16" t="s">
        <v>561</v>
      </c>
      <c r="B517" s="16" t="s">
        <v>21</v>
      </c>
      <c r="C517" s="16" t="s">
        <v>22</v>
      </c>
      <c r="D517" s="16" t="s">
        <v>560</v>
      </c>
      <c r="E517" s="17">
        <v>47.829700000000003</v>
      </c>
      <c r="F517" s="17">
        <v>-117.6056</v>
      </c>
      <c r="G517" s="23" t="str">
        <f>MakeLocationsCode(E517,F517)</f>
        <v>E7NQ-9CRI</v>
      </c>
    </row>
    <row r="518" spans="1:7" ht="15.6" x14ac:dyDescent="0.45">
      <c r="A518" s="16" t="s">
        <v>562</v>
      </c>
      <c r="B518" s="16" t="s">
        <v>21</v>
      </c>
      <c r="C518" s="16" t="s">
        <v>22</v>
      </c>
      <c r="D518" s="16" t="s">
        <v>382</v>
      </c>
      <c r="E518" s="17">
        <v>47.964199999999998</v>
      </c>
      <c r="F518" s="17">
        <v>-117.43980000000001</v>
      </c>
      <c r="G518" s="23" t="str">
        <f>MakeLocationsCode(E518,F518)</f>
        <v>E7NQ-NUZ3</v>
      </c>
    </row>
    <row r="519" spans="1:7" ht="15.6" x14ac:dyDescent="0.45">
      <c r="A519" s="16" t="s">
        <v>563</v>
      </c>
      <c r="B519" s="16" t="s">
        <v>21</v>
      </c>
      <c r="C519" s="16" t="s">
        <v>22</v>
      </c>
      <c r="D519" s="16" t="s">
        <v>560</v>
      </c>
      <c r="E519" s="17">
        <v>48.001199999999997</v>
      </c>
      <c r="F519" s="17">
        <v>-117.56100000000001</v>
      </c>
      <c r="G519" s="23" t="str">
        <f>MakeLocationsCode(E519,F519)</f>
        <v>E7NQ-RHW8</v>
      </c>
    </row>
    <row r="520" spans="1:7" ht="15.6" x14ac:dyDescent="0.45">
      <c r="A520" s="16" t="s">
        <v>564</v>
      </c>
      <c r="B520" s="16" t="s">
        <v>21</v>
      </c>
      <c r="C520" s="16" t="s">
        <v>22</v>
      </c>
      <c r="D520" s="16" t="s">
        <v>560</v>
      </c>
      <c r="E520" s="17">
        <v>48.066099999999999</v>
      </c>
      <c r="F520" s="17">
        <v>-117.6288</v>
      </c>
      <c r="G520" s="23" t="str">
        <f>MakeLocationsCode(E520,F520)</f>
        <v>E7NQ-YAS2</v>
      </c>
    </row>
    <row r="521" spans="1:7" ht="15.6" x14ac:dyDescent="0.45">
      <c r="A521" s="16" t="s">
        <v>565</v>
      </c>
      <c r="B521" s="16" t="s">
        <v>21</v>
      </c>
      <c r="C521" s="16" t="s">
        <v>22</v>
      </c>
      <c r="D521" s="16" t="s">
        <v>382</v>
      </c>
      <c r="E521" s="17">
        <v>47.779499999999999</v>
      </c>
      <c r="F521" s="17">
        <v>-117.35</v>
      </c>
      <c r="G521" s="23" t="str">
        <f>MakeLocationsCode(E521,F521)</f>
        <v>E7NR-45GK</v>
      </c>
    </row>
    <row r="522" spans="1:7" ht="15.6" x14ac:dyDescent="0.45">
      <c r="A522" s="16" t="s">
        <v>566</v>
      </c>
      <c r="B522" s="16" t="s">
        <v>21</v>
      </c>
      <c r="C522" s="16" t="s">
        <v>22</v>
      </c>
      <c r="D522" s="16" t="s">
        <v>382</v>
      </c>
      <c r="E522" s="17">
        <v>47.818399999999997</v>
      </c>
      <c r="F522" s="17">
        <v>-117.2748</v>
      </c>
      <c r="G522" s="23" t="str">
        <f>MakeLocationsCode(E522,F522)</f>
        <v>E7NR-8DKJ</v>
      </c>
    </row>
    <row r="523" spans="1:7" ht="15.6" x14ac:dyDescent="0.45">
      <c r="A523" s="16" t="s">
        <v>567</v>
      </c>
      <c r="B523" s="16" t="s">
        <v>21</v>
      </c>
      <c r="C523" s="16" t="s">
        <v>22</v>
      </c>
      <c r="D523" s="16" t="s">
        <v>479</v>
      </c>
      <c r="E523" s="17">
        <v>48.361199999999997</v>
      </c>
      <c r="F523" s="17">
        <v>-124.61150000000001</v>
      </c>
      <c r="G523" s="23" t="str">
        <f>MakeLocationsCode(E523,F523)</f>
        <v>E7O4-WI2P</v>
      </c>
    </row>
    <row r="524" spans="1:7" ht="15.6" x14ac:dyDescent="0.45">
      <c r="A524" s="16" t="s">
        <v>568</v>
      </c>
      <c r="B524" s="16" t="s">
        <v>21</v>
      </c>
      <c r="C524" s="16" t="s">
        <v>22</v>
      </c>
      <c r="D524" s="16" t="s">
        <v>479</v>
      </c>
      <c r="E524" s="17">
        <v>48.253399999999999</v>
      </c>
      <c r="F524" s="17">
        <v>-124.25790000000001</v>
      </c>
      <c r="G524" s="23" t="str">
        <f>MakeLocationsCode(E524,F524)</f>
        <v>E7O5-KMM6</v>
      </c>
    </row>
    <row r="525" spans="1:7" ht="15.6" x14ac:dyDescent="0.45">
      <c r="A525" s="16" t="s">
        <v>569</v>
      </c>
      <c r="B525" s="16" t="s">
        <v>21</v>
      </c>
      <c r="C525" s="16" t="s">
        <v>22</v>
      </c>
      <c r="D525" s="16" t="s">
        <v>479</v>
      </c>
      <c r="E525" s="17">
        <v>48.2639</v>
      </c>
      <c r="F525" s="17">
        <v>-124.3015</v>
      </c>
      <c r="G525" s="23" t="str">
        <f>MakeLocationsCode(E525,F525)</f>
        <v>E7O5-LHQJ</v>
      </c>
    </row>
    <row r="526" spans="1:7" ht="15.6" x14ac:dyDescent="0.45">
      <c r="A526" s="16" t="s">
        <v>570</v>
      </c>
      <c r="B526" s="16" t="s">
        <v>21</v>
      </c>
      <c r="C526" s="16" t="s">
        <v>22</v>
      </c>
      <c r="D526" s="16" t="s">
        <v>479</v>
      </c>
      <c r="E526" s="17">
        <v>48.084200000000003</v>
      </c>
      <c r="F526" s="17">
        <v>-123.16970000000001</v>
      </c>
      <c r="G526" s="23" t="str">
        <f>MakeLocationsCode(E526,F526)</f>
        <v>E7O8-2ZPD</v>
      </c>
    </row>
    <row r="527" spans="1:7" ht="15.6" x14ac:dyDescent="0.45">
      <c r="A527" s="16" t="s">
        <v>571</v>
      </c>
      <c r="B527" s="16" t="s">
        <v>21</v>
      </c>
      <c r="C527" s="16" t="s">
        <v>22</v>
      </c>
      <c r="D527" s="16" t="s">
        <v>479</v>
      </c>
      <c r="E527" s="17">
        <v>48.104100000000003</v>
      </c>
      <c r="F527" s="17">
        <v>-123.3694</v>
      </c>
      <c r="G527" s="23" t="str">
        <f>MakeLocationsCode(E527,F527)</f>
        <v>E7O8-4ET8</v>
      </c>
    </row>
    <row r="528" spans="1:7" ht="15.6" x14ac:dyDescent="0.45">
      <c r="A528" s="16" t="s">
        <v>572</v>
      </c>
      <c r="B528" s="16" t="s">
        <v>21</v>
      </c>
      <c r="C528" s="16" t="s">
        <v>22</v>
      </c>
      <c r="D528" s="16" t="s">
        <v>479</v>
      </c>
      <c r="E528" s="17">
        <v>48.114100000000001</v>
      </c>
      <c r="F528" s="17">
        <v>-123.45650000000001</v>
      </c>
      <c r="G528" s="23" t="str">
        <f>MakeLocationsCode(E528,F528)</f>
        <v>E7O8-54VZ</v>
      </c>
    </row>
    <row r="529" spans="1:7" ht="15.6" x14ac:dyDescent="0.45">
      <c r="A529" s="16" t="s">
        <v>573</v>
      </c>
      <c r="B529" s="16" t="s">
        <v>21</v>
      </c>
      <c r="C529" s="16" t="s">
        <v>22</v>
      </c>
      <c r="D529" s="16" t="s">
        <v>479</v>
      </c>
      <c r="E529" s="17">
        <v>48.122900000000001</v>
      </c>
      <c r="F529" s="17">
        <v>-123.0911</v>
      </c>
      <c r="G529" s="23" t="str">
        <f>MakeLocationsCode(E529,F529)</f>
        <v>E7O9-69SO</v>
      </c>
    </row>
    <row r="530" spans="1:7" ht="15.6" x14ac:dyDescent="0.45">
      <c r="A530" s="16" t="s">
        <v>574</v>
      </c>
      <c r="B530" s="16" t="s">
        <v>21</v>
      </c>
      <c r="C530" s="16" t="s">
        <v>22</v>
      </c>
      <c r="D530" s="16" t="s">
        <v>390</v>
      </c>
      <c r="E530" s="17">
        <v>48.122</v>
      </c>
      <c r="F530" s="17">
        <v>-122.7877</v>
      </c>
      <c r="G530" s="23" t="str">
        <f>MakeLocationsCode(E530,F530)</f>
        <v>E7OA-67PS</v>
      </c>
    </row>
    <row r="531" spans="1:7" ht="15.6" x14ac:dyDescent="0.45">
      <c r="A531" s="16" t="s">
        <v>575</v>
      </c>
      <c r="B531" s="16" t="s">
        <v>21</v>
      </c>
      <c r="C531" s="16" t="s">
        <v>22</v>
      </c>
      <c r="D531" s="16" t="s">
        <v>490</v>
      </c>
      <c r="E531" s="17">
        <v>48.217199999999998</v>
      </c>
      <c r="F531" s="17">
        <v>-122.67749999999999</v>
      </c>
      <c r="G531" s="23" t="str">
        <f>MakeLocationsCode(E531,F531)</f>
        <v>E7OA-GJSH</v>
      </c>
    </row>
    <row r="532" spans="1:7" ht="15.6" x14ac:dyDescent="0.45">
      <c r="A532" s="16" t="s">
        <v>576</v>
      </c>
      <c r="B532" s="16" t="s">
        <v>21</v>
      </c>
      <c r="C532" s="16" t="s">
        <v>22</v>
      </c>
      <c r="D532" s="16" t="s">
        <v>490</v>
      </c>
      <c r="E532" s="17">
        <v>48.296399999999998</v>
      </c>
      <c r="F532" s="17">
        <v>-122.63330000000001</v>
      </c>
      <c r="G532" s="23" t="str">
        <f>MakeLocationsCode(E532,F532)</f>
        <v>E7OA-PO76</v>
      </c>
    </row>
    <row r="533" spans="1:7" ht="15.6" x14ac:dyDescent="0.45">
      <c r="A533" s="16" t="s">
        <v>577</v>
      </c>
      <c r="B533" s="16" t="s">
        <v>21</v>
      </c>
      <c r="C533" s="16" t="s">
        <v>22</v>
      </c>
      <c r="D533" s="16" t="s">
        <v>490</v>
      </c>
      <c r="E533" s="17">
        <v>48.338700000000003</v>
      </c>
      <c r="F533" s="17">
        <v>-122.66160000000001</v>
      </c>
      <c r="G533" s="23" t="str">
        <f>MakeLocationsCode(E533,F533)</f>
        <v>E7OA-TLN6</v>
      </c>
    </row>
    <row r="534" spans="1:7" ht="15.6" x14ac:dyDescent="0.45">
      <c r="A534" s="16" t="s">
        <v>578</v>
      </c>
      <c r="B534" s="16" t="s">
        <v>21</v>
      </c>
      <c r="C534" s="16" t="s">
        <v>22</v>
      </c>
      <c r="D534" s="16" t="s">
        <v>497</v>
      </c>
      <c r="E534" s="17">
        <v>48.134300000000003</v>
      </c>
      <c r="F534" s="17">
        <v>-122.27849999999999</v>
      </c>
      <c r="G534" s="23" t="str">
        <f>MakeLocationsCode(E534,F534)</f>
        <v>E7OB-7RZP</v>
      </c>
    </row>
    <row r="535" spans="1:7" ht="15.6" x14ac:dyDescent="0.45">
      <c r="A535" s="16" t="s">
        <v>579</v>
      </c>
      <c r="B535" s="16" t="s">
        <v>21</v>
      </c>
      <c r="C535" s="16" t="s">
        <v>22</v>
      </c>
      <c r="D535" s="16" t="s">
        <v>497</v>
      </c>
      <c r="E535" s="17">
        <v>48.1387</v>
      </c>
      <c r="F535" s="17">
        <v>-122.3342</v>
      </c>
      <c r="G535" s="23" t="str">
        <f>MakeLocationsCode(E535,F535)</f>
        <v>E7OB-8LHT</v>
      </c>
    </row>
    <row r="536" spans="1:7" ht="15.6" x14ac:dyDescent="0.45">
      <c r="A536" s="16" t="s">
        <v>580</v>
      </c>
      <c r="B536" s="16" t="s">
        <v>21</v>
      </c>
      <c r="C536" s="16" t="s">
        <v>22</v>
      </c>
      <c r="D536" s="16" t="s">
        <v>497</v>
      </c>
      <c r="E536" s="17">
        <v>48.166499999999999</v>
      </c>
      <c r="F536" s="17">
        <v>-122.34480000000001</v>
      </c>
      <c r="G536" s="23" t="str">
        <f>MakeLocationsCode(E536,F536)</f>
        <v>E7OB-BKFP</v>
      </c>
    </row>
    <row r="537" spans="1:7" ht="15.6" x14ac:dyDescent="0.45">
      <c r="A537" s="16" t="s">
        <v>581</v>
      </c>
      <c r="B537" s="16" t="s">
        <v>21</v>
      </c>
      <c r="C537" s="16" t="s">
        <v>22</v>
      </c>
      <c r="D537" s="16" t="s">
        <v>490</v>
      </c>
      <c r="E537" s="17">
        <v>48.186500000000002</v>
      </c>
      <c r="F537" s="17">
        <v>-122.4708</v>
      </c>
      <c r="G537" s="23" t="str">
        <f>MakeLocationsCode(E537,F537)</f>
        <v>E7OB-D7JD</v>
      </c>
    </row>
    <row r="538" spans="1:7" ht="15.6" x14ac:dyDescent="0.45">
      <c r="A538" s="16" t="s">
        <v>582</v>
      </c>
      <c r="B538" s="16" t="s">
        <v>21</v>
      </c>
      <c r="C538" s="16" t="s">
        <v>22</v>
      </c>
      <c r="D538" s="16" t="s">
        <v>497</v>
      </c>
      <c r="E538" s="17">
        <v>48.201799999999999</v>
      </c>
      <c r="F538" s="17">
        <v>-122.24590000000001</v>
      </c>
      <c r="G538" s="23" t="str">
        <f>MakeLocationsCode(E538,F538)</f>
        <v>E7OB-FV67</v>
      </c>
    </row>
    <row r="539" spans="1:7" ht="15.6" x14ac:dyDescent="0.45">
      <c r="A539" s="16" t="s">
        <v>583</v>
      </c>
      <c r="B539" s="16" t="s">
        <v>21</v>
      </c>
      <c r="C539" s="16" t="s">
        <v>22</v>
      </c>
      <c r="D539" s="16" t="s">
        <v>497</v>
      </c>
      <c r="E539" s="17">
        <v>48.226500000000001</v>
      </c>
      <c r="F539" s="17">
        <v>-122.25369999999999</v>
      </c>
      <c r="G539" s="23" t="str">
        <f>MakeLocationsCode(E539,F539)</f>
        <v>E7OB-HURD</v>
      </c>
    </row>
    <row r="540" spans="1:7" ht="15.6" x14ac:dyDescent="0.45">
      <c r="A540" s="16" t="s">
        <v>584</v>
      </c>
      <c r="B540" s="16" t="s">
        <v>21</v>
      </c>
      <c r="C540" s="16" t="s">
        <v>22</v>
      </c>
      <c r="D540" s="16" t="s">
        <v>497</v>
      </c>
      <c r="E540" s="17">
        <v>48.244900000000001</v>
      </c>
      <c r="F540" s="17">
        <v>-122.3426</v>
      </c>
      <c r="G540" s="23" t="str">
        <f>MakeLocationsCode(E540,F540)</f>
        <v>E7OB-JKQX</v>
      </c>
    </row>
    <row r="541" spans="1:7" ht="15.6" x14ac:dyDescent="0.45">
      <c r="A541" s="16" t="s">
        <v>585</v>
      </c>
      <c r="B541" s="16" t="s">
        <v>21</v>
      </c>
      <c r="C541" s="16" t="s">
        <v>22</v>
      </c>
      <c r="D541" s="16" t="s">
        <v>497</v>
      </c>
      <c r="E541" s="17">
        <v>48.2624</v>
      </c>
      <c r="F541" s="17">
        <v>-122.3501</v>
      </c>
      <c r="G541" s="23" t="str">
        <f>MakeLocationsCode(E541,F541)</f>
        <v>E7OB-LKL6</v>
      </c>
    </row>
    <row r="542" spans="1:7" ht="15.6" x14ac:dyDescent="0.45">
      <c r="A542" s="16" t="s">
        <v>586</v>
      </c>
      <c r="B542" s="16" t="s">
        <v>21</v>
      </c>
      <c r="C542" s="16" t="s">
        <v>22</v>
      </c>
      <c r="D542" s="16" t="s">
        <v>497</v>
      </c>
      <c r="E542" s="17">
        <v>48.282299999999999</v>
      </c>
      <c r="F542" s="17">
        <v>-122.34229999999999</v>
      </c>
      <c r="G542" s="23" t="str">
        <f>MakeLocationsCode(E542,F542)</f>
        <v>E7OB-NKOY</v>
      </c>
    </row>
    <row r="543" spans="1:7" ht="15.6" x14ac:dyDescent="0.45">
      <c r="A543" s="16" t="s">
        <v>587</v>
      </c>
      <c r="B543" s="16" t="s">
        <v>21</v>
      </c>
      <c r="C543" s="16" t="s">
        <v>22</v>
      </c>
      <c r="D543" s="16" t="s">
        <v>588</v>
      </c>
      <c r="E543" s="17">
        <v>48.317799999999998</v>
      </c>
      <c r="F543" s="17">
        <v>-122.232</v>
      </c>
      <c r="G543" s="23" t="str">
        <f>MakeLocationsCode(E543,F543)</f>
        <v>E7OB-RWGN</v>
      </c>
    </row>
    <row r="544" spans="1:7" ht="15.6" x14ac:dyDescent="0.45">
      <c r="A544" s="16" t="s">
        <v>589</v>
      </c>
      <c r="B544" s="16" t="s">
        <v>21</v>
      </c>
      <c r="C544" s="16" t="s">
        <v>22</v>
      </c>
      <c r="D544" s="16" t="s">
        <v>588</v>
      </c>
      <c r="E544" s="17">
        <v>48.335700000000003</v>
      </c>
      <c r="F544" s="17">
        <v>-122.34439999999999</v>
      </c>
      <c r="G544" s="23" t="str">
        <f>MakeLocationsCode(E544,F544)</f>
        <v>E7OB-TKDQ</v>
      </c>
    </row>
    <row r="545" spans="1:7" ht="15.6" x14ac:dyDescent="0.45">
      <c r="A545" s="16" t="s">
        <v>590</v>
      </c>
      <c r="B545" s="16" t="s">
        <v>21</v>
      </c>
      <c r="C545" s="16" t="s">
        <v>22</v>
      </c>
      <c r="D545" s="16" t="s">
        <v>588</v>
      </c>
      <c r="E545" s="17">
        <v>48.389000000000003</v>
      </c>
      <c r="F545" s="17">
        <v>-122.2435</v>
      </c>
      <c r="G545" s="23" t="str">
        <f>MakeLocationsCode(E545,F545)</f>
        <v>E7OB-YVYF</v>
      </c>
    </row>
    <row r="546" spans="1:7" ht="15.6" x14ac:dyDescent="0.45">
      <c r="A546" s="16" t="s">
        <v>591</v>
      </c>
      <c r="B546" s="16" t="s">
        <v>21</v>
      </c>
      <c r="C546" s="16" t="s">
        <v>22</v>
      </c>
      <c r="D546" s="16" t="s">
        <v>588</v>
      </c>
      <c r="E546" s="17">
        <v>48.392600000000002</v>
      </c>
      <c r="F546" s="17">
        <v>-122.4945</v>
      </c>
      <c r="G546" s="23" t="str">
        <f>MakeLocationsCode(E546,F546)</f>
        <v>E7OB-Z4DU</v>
      </c>
    </row>
    <row r="547" spans="1:7" ht="15.6" x14ac:dyDescent="0.45">
      <c r="A547" s="16" t="s">
        <v>592</v>
      </c>
      <c r="B547" s="16" t="s">
        <v>21</v>
      </c>
      <c r="C547" s="16" t="s">
        <v>22</v>
      </c>
      <c r="D547" s="16" t="s">
        <v>497</v>
      </c>
      <c r="E547" s="17">
        <v>48.0809</v>
      </c>
      <c r="F547" s="17">
        <v>-122.1561</v>
      </c>
      <c r="G547" s="23" t="str">
        <f>MakeLocationsCode(E547,F547)</f>
        <v>E7OC-26DO</v>
      </c>
    </row>
    <row r="548" spans="1:7" ht="15.6" x14ac:dyDescent="0.45">
      <c r="A548" s="16" t="s">
        <v>593</v>
      </c>
      <c r="B548" s="16" t="s">
        <v>21</v>
      </c>
      <c r="C548" s="16" t="s">
        <v>22</v>
      </c>
      <c r="D548" s="16" t="s">
        <v>497</v>
      </c>
      <c r="E548" s="17">
        <v>48.087400000000002</v>
      </c>
      <c r="F548" s="17">
        <v>-121.9706</v>
      </c>
      <c r="G548" s="23" t="str">
        <f>MakeLocationsCode(E548,F548)</f>
        <v>E7OC-3Q3C</v>
      </c>
    </row>
    <row r="549" spans="1:7" ht="15.6" x14ac:dyDescent="0.45">
      <c r="A549" s="16" t="s">
        <v>594</v>
      </c>
      <c r="B549" s="16" t="s">
        <v>21</v>
      </c>
      <c r="C549" s="16" t="s">
        <v>22</v>
      </c>
      <c r="D549" s="16" t="s">
        <v>497</v>
      </c>
      <c r="E549" s="17">
        <v>48.118000000000002</v>
      </c>
      <c r="F549" s="17">
        <v>-122.1112</v>
      </c>
      <c r="G549" s="23" t="str">
        <f>MakeLocationsCode(E549,F549)</f>
        <v>E7OC-6BBG</v>
      </c>
    </row>
    <row r="550" spans="1:7" ht="15.6" x14ac:dyDescent="0.45">
      <c r="A550" s="16" t="s">
        <v>595</v>
      </c>
      <c r="B550" s="16" t="s">
        <v>21</v>
      </c>
      <c r="C550" s="16" t="s">
        <v>22</v>
      </c>
      <c r="D550" s="16" t="s">
        <v>497</v>
      </c>
      <c r="E550" s="17">
        <v>48.115699999999997</v>
      </c>
      <c r="F550" s="17">
        <v>-121.9832</v>
      </c>
      <c r="G550" s="23" t="str">
        <f>MakeLocationsCode(E550,F550)</f>
        <v>E7OC-6O3Y</v>
      </c>
    </row>
    <row r="551" spans="1:7" ht="15.6" x14ac:dyDescent="0.45">
      <c r="A551" s="16" t="s">
        <v>596</v>
      </c>
      <c r="B551" s="16" t="s">
        <v>21</v>
      </c>
      <c r="C551" s="16" t="s">
        <v>22</v>
      </c>
      <c r="D551" s="16" t="s">
        <v>497</v>
      </c>
      <c r="E551" s="17">
        <v>48.170099999999998</v>
      </c>
      <c r="F551" s="17">
        <v>-122.1442</v>
      </c>
      <c r="G551" s="23" t="str">
        <f>MakeLocationsCode(E551,F551)</f>
        <v>E7OC-B7SX</v>
      </c>
    </row>
    <row r="552" spans="1:7" ht="15.6" x14ac:dyDescent="0.45">
      <c r="A552" s="16" t="s">
        <v>597</v>
      </c>
      <c r="B552" s="16" t="s">
        <v>21</v>
      </c>
      <c r="C552" s="16" t="s">
        <v>22</v>
      </c>
      <c r="D552" s="16" t="s">
        <v>497</v>
      </c>
      <c r="E552" s="17">
        <v>48.2119</v>
      </c>
      <c r="F552" s="17">
        <v>-122.063</v>
      </c>
      <c r="G552" s="23" t="str">
        <f>MakeLocationsCode(E552,F552)</f>
        <v>E7OC-GG9J</v>
      </c>
    </row>
    <row r="553" spans="1:7" ht="15.6" x14ac:dyDescent="0.45">
      <c r="A553" s="16" t="s">
        <v>598</v>
      </c>
      <c r="B553" s="16" t="s">
        <v>21</v>
      </c>
      <c r="C553" s="16" t="s">
        <v>22</v>
      </c>
      <c r="D553" s="16" t="s">
        <v>497</v>
      </c>
      <c r="E553" s="17">
        <v>48.24</v>
      </c>
      <c r="F553" s="17">
        <v>-122.16379999999999</v>
      </c>
      <c r="G553" s="23" t="str">
        <f>MakeLocationsCode(E553,F553)</f>
        <v>E7OC-J58U</v>
      </c>
    </row>
    <row r="554" spans="1:7" ht="15.6" x14ac:dyDescent="0.45">
      <c r="A554" s="16" t="s">
        <v>599</v>
      </c>
      <c r="B554" s="16" t="s">
        <v>21</v>
      </c>
      <c r="C554" s="16" t="s">
        <v>22</v>
      </c>
      <c r="D554" s="16" t="s">
        <v>497</v>
      </c>
      <c r="E554" s="17">
        <v>48.2836</v>
      </c>
      <c r="F554" s="17">
        <v>-121.9238</v>
      </c>
      <c r="G554" s="23" t="str">
        <f>MakeLocationsCode(E554,F554)</f>
        <v>E7OC-NVTA</v>
      </c>
    </row>
    <row r="555" spans="1:7" ht="15.6" x14ac:dyDescent="0.45">
      <c r="A555" s="16" t="s">
        <v>600</v>
      </c>
      <c r="B555" s="16" t="s">
        <v>21</v>
      </c>
      <c r="C555" s="16" t="s">
        <v>22</v>
      </c>
      <c r="D555" s="16" t="s">
        <v>588</v>
      </c>
      <c r="E555" s="17">
        <v>48.322499999999998</v>
      </c>
      <c r="F555" s="17">
        <v>-122.01220000000001</v>
      </c>
      <c r="G555" s="23" t="str">
        <f>MakeLocationsCode(E555,F555)</f>
        <v>E7OC-RLXW</v>
      </c>
    </row>
    <row r="556" spans="1:7" ht="15.6" x14ac:dyDescent="0.45">
      <c r="A556" s="16" t="s">
        <v>601</v>
      </c>
      <c r="B556" s="16" t="s">
        <v>21</v>
      </c>
      <c r="C556" s="16" t="s">
        <v>22</v>
      </c>
      <c r="D556" s="16" t="s">
        <v>497</v>
      </c>
      <c r="E556" s="17">
        <v>48.100299999999997</v>
      </c>
      <c r="F556" s="17">
        <v>-121.7679</v>
      </c>
      <c r="G556" s="23" t="str">
        <f>MakeLocationsCode(E556,F556)</f>
        <v>E7OD-4DFS</v>
      </c>
    </row>
    <row r="557" spans="1:7" ht="15.6" x14ac:dyDescent="0.45">
      <c r="A557" s="16" t="s">
        <v>602</v>
      </c>
      <c r="B557" s="16" t="s">
        <v>21</v>
      </c>
      <c r="C557" s="16" t="s">
        <v>22</v>
      </c>
      <c r="D557" s="16" t="s">
        <v>497</v>
      </c>
      <c r="E557" s="17">
        <v>48.254600000000003</v>
      </c>
      <c r="F557" s="17">
        <v>-121.6031</v>
      </c>
      <c r="G557" s="23" t="str">
        <f>MakeLocationsCode(E557,F557)</f>
        <v>E7OD-KVR9</v>
      </c>
    </row>
    <row r="558" spans="1:7" ht="15.6" x14ac:dyDescent="0.45">
      <c r="A558" s="16" t="s">
        <v>603</v>
      </c>
      <c r="B558" s="16" t="s">
        <v>21</v>
      </c>
      <c r="C558" s="16" t="s">
        <v>22</v>
      </c>
      <c r="D558" s="16" t="s">
        <v>497</v>
      </c>
      <c r="E558" s="17">
        <v>48.282899999999998</v>
      </c>
      <c r="F558" s="17">
        <v>-121.7136</v>
      </c>
      <c r="G558" s="23" t="str">
        <f>MakeLocationsCode(E558,F558)</f>
        <v>E7OD-NJQJ</v>
      </c>
    </row>
    <row r="559" spans="1:7" ht="15.6" x14ac:dyDescent="0.45">
      <c r="A559" s="16" t="s">
        <v>604</v>
      </c>
      <c r="B559" s="16" t="s">
        <v>21</v>
      </c>
      <c r="C559" s="16" t="s">
        <v>22</v>
      </c>
      <c r="D559" s="16" t="s">
        <v>552</v>
      </c>
      <c r="E559" s="17">
        <v>48.128599999999999</v>
      </c>
      <c r="F559" s="17">
        <v>-120.0055</v>
      </c>
      <c r="G559" s="23" t="str">
        <f>MakeLocationsCode(E559,F559)</f>
        <v>E7OI-7UFE</v>
      </c>
    </row>
    <row r="560" spans="1:7" ht="15.6" x14ac:dyDescent="0.45">
      <c r="A560" s="16" t="s">
        <v>605</v>
      </c>
      <c r="B560" s="16" t="s">
        <v>21</v>
      </c>
      <c r="C560" s="16" t="s">
        <v>22</v>
      </c>
      <c r="D560" s="16" t="s">
        <v>552</v>
      </c>
      <c r="E560" s="17">
        <v>48.361899999999999</v>
      </c>
      <c r="F560" s="17">
        <v>-120.11709999999999</v>
      </c>
      <c r="G560" s="23" t="str">
        <f>MakeLocationsCode(E560,F560)</f>
        <v>E7OI-WI5K</v>
      </c>
    </row>
    <row r="561" spans="1:7" ht="15.6" x14ac:dyDescent="0.45">
      <c r="A561" s="16" t="s">
        <v>606</v>
      </c>
      <c r="B561" s="16" t="s">
        <v>21</v>
      </c>
      <c r="C561" s="16" t="s">
        <v>22</v>
      </c>
      <c r="D561" s="16" t="s">
        <v>552</v>
      </c>
      <c r="E561" s="17">
        <v>48.101500000000001</v>
      </c>
      <c r="F561" s="17">
        <v>-119.7762</v>
      </c>
      <c r="G561" s="23" t="str">
        <f>MakeLocationsCode(E561,F561)</f>
        <v>E7OJ-4KJO</v>
      </c>
    </row>
    <row r="562" spans="1:7" ht="15.6" x14ac:dyDescent="0.45">
      <c r="A562" s="16" t="s">
        <v>607</v>
      </c>
      <c r="B562" s="16" t="s">
        <v>21</v>
      </c>
      <c r="C562" s="16" t="s">
        <v>22</v>
      </c>
      <c r="D562" s="16" t="s">
        <v>552</v>
      </c>
      <c r="E562" s="17">
        <v>48.291800000000002</v>
      </c>
      <c r="F562" s="17">
        <v>-119.6955</v>
      </c>
      <c r="G562" s="23" t="str">
        <f>MakeLocationsCode(E562,F562)</f>
        <v>E7OJ-OTO8</v>
      </c>
    </row>
    <row r="563" spans="1:7" ht="15.6" x14ac:dyDescent="0.45">
      <c r="A563" s="16" t="s">
        <v>552</v>
      </c>
      <c r="B563" s="16" t="s">
        <v>21</v>
      </c>
      <c r="C563" s="16" t="s">
        <v>22</v>
      </c>
      <c r="D563" s="16" t="s">
        <v>552</v>
      </c>
      <c r="E563" s="17">
        <v>48.3673</v>
      </c>
      <c r="F563" s="17">
        <v>-119.578</v>
      </c>
      <c r="G563" s="23" t="str">
        <f>MakeLocationsCode(E563,F563)</f>
        <v>E7OK-W7ON</v>
      </c>
    </row>
    <row r="564" spans="1:7" ht="15.6" x14ac:dyDescent="0.45">
      <c r="A564" s="16" t="s">
        <v>608</v>
      </c>
      <c r="B564" s="16" t="s">
        <v>21</v>
      </c>
      <c r="C564" s="16" t="s">
        <v>22</v>
      </c>
      <c r="D564" s="16" t="s">
        <v>552</v>
      </c>
      <c r="E564" s="17">
        <v>48.171500000000002</v>
      </c>
      <c r="F564" s="17">
        <v>-119.0244</v>
      </c>
      <c r="G564" s="23" t="str">
        <f>MakeLocationsCode(E564,F564)</f>
        <v>E7OL-BWXA</v>
      </c>
    </row>
    <row r="565" spans="1:7" ht="15.6" x14ac:dyDescent="0.45">
      <c r="A565" s="16" t="s">
        <v>609</v>
      </c>
      <c r="B565" s="16" t="s">
        <v>21</v>
      </c>
      <c r="C565" s="16" t="s">
        <v>22</v>
      </c>
      <c r="D565" s="16" t="s">
        <v>552</v>
      </c>
      <c r="E565" s="17">
        <v>48.3446</v>
      </c>
      <c r="F565" s="17">
        <v>-119.23009999999999</v>
      </c>
      <c r="G565" s="23" t="str">
        <f>MakeLocationsCode(E565,F565)</f>
        <v>E7OL-UABI</v>
      </c>
    </row>
    <row r="566" spans="1:7" ht="15.6" x14ac:dyDescent="0.45">
      <c r="A566" s="16" t="s">
        <v>610</v>
      </c>
      <c r="B566" s="16" t="s">
        <v>21</v>
      </c>
      <c r="C566" s="16" t="s">
        <v>22</v>
      </c>
      <c r="D566" s="16" t="s">
        <v>611</v>
      </c>
      <c r="E566" s="17">
        <v>48.0852</v>
      </c>
      <c r="F566" s="17">
        <v>-118.71639999999999</v>
      </c>
      <c r="G566" s="23" t="str">
        <f>MakeLocationsCode(E566,F566)</f>
        <v>E7OM-2UTV</v>
      </c>
    </row>
    <row r="567" spans="1:7" ht="15.6" x14ac:dyDescent="0.45">
      <c r="A567" s="16" t="s">
        <v>612</v>
      </c>
      <c r="B567" s="16" t="s">
        <v>21</v>
      </c>
      <c r="C567" s="16" t="s">
        <v>22</v>
      </c>
      <c r="D567" s="16" t="s">
        <v>552</v>
      </c>
      <c r="E567" s="17">
        <v>48.167000000000002</v>
      </c>
      <c r="F567" s="17">
        <v>-118.9722</v>
      </c>
      <c r="G567" s="23" t="str">
        <f>MakeLocationsCode(E567,F567)</f>
        <v>E7OM-B3HS</v>
      </c>
    </row>
    <row r="568" spans="1:7" ht="15.6" x14ac:dyDescent="0.45">
      <c r="A568" s="16" t="s">
        <v>613</v>
      </c>
      <c r="B568" s="16" t="s">
        <v>21</v>
      </c>
      <c r="C568" s="16" t="s">
        <v>22</v>
      </c>
      <c r="D568" s="16" t="s">
        <v>611</v>
      </c>
      <c r="E568" s="17">
        <v>48.2622</v>
      </c>
      <c r="F568" s="17">
        <v>-118.3591</v>
      </c>
      <c r="G568" s="23" t="str">
        <f>MakeLocationsCode(E568,F568)</f>
        <v>E7ON-LYKP</v>
      </c>
    </row>
    <row r="569" spans="1:7" ht="15.6" x14ac:dyDescent="0.45">
      <c r="A569" s="16" t="s">
        <v>614</v>
      </c>
      <c r="B569" s="16" t="s">
        <v>21</v>
      </c>
      <c r="C569" s="16" t="s">
        <v>22</v>
      </c>
      <c r="D569" s="16" t="s">
        <v>611</v>
      </c>
      <c r="E569" s="17">
        <v>48.337899999999998</v>
      </c>
      <c r="F569" s="17">
        <v>-118.2372</v>
      </c>
      <c r="G569" s="23" t="str">
        <f>MakeLocationsCode(E569,F569)</f>
        <v>E7OO-TDKM</v>
      </c>
    </row>
    <row r="570" spans="1:7" ht="15.6" x14ac:dyDescent="0.45">
      <c r="A570" s="16" t="s">
        <v>615</v>
      </c>
      <c r="B570" s="16" t="s">
        <v>21</v>
      </c>
      <c r="C570" s="16" t="s">
        <v>22</v>
      </c>
      <c r="D570" s="16" t="s">
        <v>560</v>
      </c>
      <c r="E570" s="17">
        <v>48.173000000000002</v>
      </c>
      <c r="F570" s="17">
        <v>-117.7244</v>
      </c>
      <c r="G570" s="23" t="str">
        <f>MakeLocationsCode(E570,F570)</f>
        <v>E7OP-CX5W</v>
      </c>
    </row>
    <row r="571" spans="1:7" ht="15.6" x14ac:dyDescent="0.45">
      <c r="A571" s="16" t="s">
        <v>616</v>
      </c>
      <c r="B571" s="16" t="s">
        <v>21</v>
      </c>
      <c r="C571" s="16" t="s">
        <v>22</v>
      </c>
      <c r="D571" s="16" t="s">
        <v>560</v>
      </c>
      <c r="E571" s="17">
        <v>48.292999999999999</v>
      </c>
      <c r="F571" s="17">
        <v>-117.7336</v>
      </c>
      <c r="G571" s="23" t="str">
        <f>MakeLocationsCode(E571,F571)</f>
        <v>E7OP-OWTX</v>
      </c>
    </row>
    <row r="572" spans="1:7" ht="15.6" x14ac:dyDescent="0.45">
      <c r="A572" s="16" t="s">
        <v>617</v>
      </c>
      <c r="B572" s="16" t="s">
        <v>21</v>
      </c>
      <c r="C572" s="16" t="s">
        <v>22</v>
      </c>
      <c r="D572" s="16" t="s">
        <v>560</v>
      </c>
      <c r="E572" s="17">
        <v>48.358800000000002</v>
      </c>
      <c r="F572" s="17">
        <v>-117.8372</v>
      </c>
      <c r="G572" s="23" t="str">
        <f>MakeLocationsCode(E572,F572)</f>
        <v>E7OP-VLSY</v>
      </c>
    </row>
    <row r="573" spans="1:7" ht="15.6" x14ac:dyDescent="0.45">
      <c r="A573" s="16" t="s">
        <v>618</v>
      </c>
      <c r="B573" s="16" t="s">
        <v>21</v>
      </c>
      <c r="C573" s="16" t="s">
        <v>22</v>
      </c>
      <c r="D573" s="16" t="s">
        <v>619</v>
      </c>
      <c r="E573" s="17">
        <v>48.333300000000001</v>
      </c>
      <c r="F573" s="17">
        <v>-117.2944</v>
      </c>
      <c r="G573" s="23" t="str">
        <f>MakeLocationsCode(E573,F573)</f>
        <v>E7OR-TB4G</v>
      </c>
    </row>
    <row r="574" spans="1:7" ht="15.6" x14ac:dyDescent="0.45">
      <c r="A574" s="16" t="s">
        <v>620</v>
      </c>
      <c r="B574" s="16" t="s">
        <v>21</v>
      </c>
      <c r="C574" s="16" t="s">
        <v>22</v>
      </c>
      <c r="D574" s="16" t="s">
        <v>619</v>
      </c>
      <c r="E574" s="17">
        <v>48.178100000000001</v>
      </c>
      <c r="F574" s="17">
        <v>-117.05459999999999</v>
      </c>
      <c r="G574" s="23" t="str">
        <f>MakeLocationsCode(E574,F574)</f>
        <v>E7OS-C2NT</v>
      </c>
    </row>
    <row r="575" spans="1:7" ht="15.6" x14ac:dyDescent="0.45">
      <c r="A575" s="16" t="s">
        <v>621</v>
      </c>
      <c r="B575" s="16" t="s">
        <v>21</v>
      </c>
      <c r="C575" s="16" t="s">
        <v>22</v>
      </c>
      <c r="D575" s="16" t="s">
        <v>622</v>
      </c>
      <c r="E575" s="17">
        <v>48.532400000000003</v>
      </c>
      <c r="F575" s="17">
        <v>-123.06570000000001</v>
      </c>
      <c r="G575" s="23" t="str">
        <f>MakeLocationsCode(E575,F575)</f>
        <v>E7P9-GC7D</v>
      </c>
    </row>
    <row r="576" spans="1:7" ht="15.6" x14ac:dyDescent="0.45">
      <c r="A576" s="16" t="s">
        <v>623</v>
      </c>
      <c r="B576" s="16" t="s">
        <v>21</v>
      </c>
      <c r="C576" s="16" t="s">
        <v>22</v>
      </c>
      <c r="D576" s="16" t="s">
        <v>622</v>
      </c>
      <c r="E576" s="17">
        <v>48.607900000000001</v>
      </c>
      <c r="F576" s="17">
        <v>-123.1347</v>
      </c>
      <c r="G576" s="23" t="str">
        <f>MakeLocationsCode(E576,F576)</f>
        <v>E7P9-O563</v>
      </c>
    </row>
    <row r="577" spans="1:7" ht="15.6" x14ac:dyDescent="0.45">
      <c r="A577" s="16" t="s">
        <v>624</v>
      </c>
      <c r="B577" s="16" t="s">
        <v>21</v>
      </c>
      <c r="C577" s="16" t="s">
        <v>22</v>
      </c>
      <c r="D577" s="16" t="s">
        <v>588</v>
      </c>
      <c r="E577" s="17">
        <v>48.4878</v>
      </c>
      <c r="F577" s="17">
        <v>-122.6292</v>
      </c>
      <c r="G577" s="23" t="str">
        <f>MakeLocationsCode(E577,F577)</f>
        <v>E7PA-BOGL</v>
      </c>
    </row>
    <row r="578" spans="1:7" ht="15.6" x14ac:dyDescent="0.45">
      <c r="A578" s="16" t="s">
        <v>625</v>
      </c>
      <c r="B578" s="16" t="s">
        <v>21</v>
      </c>
      <c r="C578" s="16" t="s">
        <v>22</v>
      </c>
      <c r="D578" s="16" t="s">
        <v>588</v>
      </c>
      <c r="E578" s="17">
        <v>48.420299999999997</v>
      </c>
      <c r="F578" s="17">
        <v>-122.3115</v>
      </c>
      <c r="G578" s="23" t="str">
        <f>MakeLocationsCode(E578,F578)</f>
        <v>E7PB-4OB9</v>
      </c>
    </row>
    <row r="579" spans="1:7" ht="15.6" x14ac:dyDescent="0.45">
      <c r="A579" s="16" t="s">
        <v>626</v>
      </c>
      <c r="B579" s="16" t="s">
        <v>21</v>
      </c>
      <c r="C579" s="16" t="s">
        <v>22</v>
      </c>
      <c r="D579" s="16" t="s">
        <v>588</v>
      </c>
      <c r="E579" s="17">
        <v>48.467599999999997</v>
      </c>
      <c r="F579" s="17">
        <v>-122.32980000000001</v>
      </c>
      <c r="G579" s="23" t="str">
        <f>MakeLocationsCode(E579,F579)</f>
        <v>E7PB-9MBB</v>
      </c>
    </row>
    <row r="580" spans="1:7" ht="15.6" x14ac:dyDescent="0.45">
      <c r="A580" s="16" t="s">
        <v>627</v>
      </c>
      <c r="B580" s="16" t="s">
        <v>21</v>
      </c>
      <c r="C580" s="16" t="s">
        <v>22</v>
      </c>
      <c r="D580" s="16" t="s">
        <v>588</v>
      </c>
      <c r="E580" s="17">
        <v>48.487000000000002</v>
      </c>
      <c r="F580" s="17">
        <v>-122.4628</v>
      </c>
      <c r="G580" s="23" t="str">
        <f>MakeLocationsCode(E580,F580)</f>
        <v>E7PB-B8D8</v>
      </c>
    </row>
    <row r="581" spans="1:7" ht="15.6" x14ac:dyDescent="0.45">
      <c r="A581" s="16" t="s">
        <v>628</v>
      </c>
      <c r="B581" s="16" t="s">
        <v>21</v>
      </c>
      <c r="C581" s="16" t="s">
        <v>22</v>
      </c>
      <c r="D581" s="16" t="s">
        <v>588</v>
      </c>
      <c r="E581" s="17">
        <v>48.511200000000002</v>
      </c>
      <c r="F581" s="17">
        <v>-122.2321</v>
      </c>
      <c r="G581" s="23" t="str">
        <f>MakeLocationsCode(E581,F581)</f>
        <v>E7PB-DWWM</v>
      </c>
    </row>
    <row r="582" spans="1:7" ht="15.6" x14ac:dyDescent="0.45">
      <c r="A582" s="16" t="s">
        <v>629</v>
      </c>
      <c r="B582" s="16" t="s">
        <v>21</v>
      </c>
      <c r="C582" s="16" t="s">
        <v>22</v>
      </c>
      <c r="D582" s="16" t="s">
        <v>588</v>
      </c>
      <c r="E582" s="17">
        <v>48.564</v>
      </c>
      <c r="F582" s="17">
        <v>-122.4348</v>
      </c>
      <c r="G582" s="23" t="str">
        <f>MakeLocationsCode(E582,F582)</f>
        <v>E7PB-JBI7</v>
      </c>
    </row>
    <row r="583" spans="1:7" ht="15.6" x14ac:dyDescent="0.45">
      <c r="A583" s="16" t="s">
        <v>630</v>
      </c>
      <c r="B583" s="16" t="s">
        <v>21</v>
      </c>
      <c r="C583" s="16" t="s">
        <v>22</v>
      </c>
      <c r="D583" s="16" t="s">
        <v>588</v>
      </c>
      <c r="E583" s="17">
        <v>48.561300000000003</v>
      </c>
      <c r="F583" s="17">
        <v>-122.40770000000001</v>
      </c>
      <c r="G583" s="23" t="str">
        <f>MakeLocationsCode(E583,F583)</f>
        <v>E7PB-JE92</v>
      </c>
    </row>
    <row r="584" spans="1:7" ht="15.6" x14ac:dyDescent="0.45">
      <c r="A584" s="16" t="s">
        <v>631</v>
      </c>
      <c r="B584" s="16" t="s">
        <v>21</v>
      </c>
      <c r="C584" s="16" t="s">
        <v>22</v>
      </c>
      <c r="D584" s="16" t="s">
        <v>588</v>
      </c>
      <c r="E584" s="17">
        <v>48.6175</v>
      </c>
      <c r="F584" s="17">
        <v>-122.3368</v>
      </c>
      <c r="G584" s="23" t="str">
        <f>MakeLocationsCode(E584,F584)</f>
        <v>E7PB-PL7K</v>
      </c>
    </row>
    <row r="585" spans="1:7" ht="15.6" x14ac:dyDescent="0.45">
      <c r="A585" s="16" t="s">
        <v>632</v>
      </c>
      <c r="B585" s="16" t="s">
        <v>21</v>
      </c>
      <c r="C585" s="16" t="s">
        <v>22</v>
      </c>
      <c r="D585" s="16" t="s">
        <v>633</v>
      </c>
      <c r="E585" s="17">
        <v>48.715800000000002</v>
      </c>
      <c r="F585" s="17">
        <v>-122.2077</v>
      </c>
      <c r="G585" s="23" t="str">
        <f>MakeLocationsCode(E585,F585)</f>
        <v>E7PB-ZZL8</v>
      </c>
    </row>
    <row r="586" spans="1:7" ht="15.6" x14ac:dyDescent="0.45">
      <c r="A586" s="16" t="s">
        <v>634</v>
      </c>
      <c r="B586" s="16" t="s">
        <v>21</v>
      </c>
      <c r="C586" s="16" t="s">
        <v>22</v>
      </c>
      <c r="D586" s="16" t="s">
        <v>588</v>
      </c>
      <c r="E586" s="17">
        <v>48.523000000000003</v>
      </c>
      <c r="F586" s="17">
        <v>-122.0634</v>
      </c>
      <c r="G586" s="23" t="str">
        <f>MakeLocationsCode(E586,F586)</f>
        <v>E7PC-FG7I</v>
      </c>
    </row>
    <row r="587" spans="1:7" ht="15.6" x14ac:dyDescent="0.45">
      <c r="A587" s="16" t="s">
        <v>635</v>
      </c>
      <c r="B587" s="16" t="s">
        <v>21</v>
      </c>
      <c r="C587" s="16" t="s">
        <v>22</v>
      </c>
      <c r="D587" s="16" t="s">
        <v>588</v>
      </c>
      <c r="E587" s="17">
        <v>48.528300000000002</v>
      </c>
      <c r="F587" s="17">
        <v>-121.98390000000001</v>
      </c>
      <c r="G587" s="23" t="str">
        <f>MakeLocationsCode(E587,F587)</f>
        <v>E7PC-FOQW</v>
      </c>
    </row>
    <row r="588" spans="1:7" ht="15.6" x14ac:dyDescent="0.45">
      <c r="A588" s="16" t="s">
        <v>636</v>
      </c>
      <c r="B588" s="16" t="s">
        <v>21</v>
      </c>
      <c r="C588" s="16" t="s">
        <v>22</v>
      </c>
      <c r="D588" s="16" t="s">
        <v>588</v>
      </c>
      <c r="E588" s="17">
        <v>48.484999999999999</v>
      </c>
      <c r="F588" s="17">
        <v>-121.6065</v>
      </c>
      <c r="G588" s="23" t="str">
        <f>MakeLocationsCode(E588,F588)</f>
        <v>E7PD-BU6V</v>
      </c>
    </row>
    <row r="589" spans="1:7" ht="15.6" x14ac:dyDescent="0.45">
      <c r="A589" s="16" t="s">
        <v>637</v>
      </c>
      <c r="B589" s="16" t="s">
        <v>21</v>
      </c>
      <c r="C589" s="16" t="s">
        <v>22</v>
      </c>
      <c r="D589" s="16" t="s">
        <v>588</v>
      </c>
      <c r="E589" s="17">
        <v>48.536999999999999</v>
      </c>
      <c r="F589" s="17">
        <v>-121.751</v>
      </c>
      <c r="G589" s="23" t="str">
        <f>MakeLocationsCode(E589,F589)</f>
        <v>E7PD-GFNK</v>
      </c>
    </row>
    <row r="590" spans="1:7" ht="15.6" x14ac:dyDescent="0.45">
      <c r="A590" s="16" t="s">
        <v>638</v>
      </c>
      <c r="B590" s="16" t="s">
        <v>21</v>
      </c>
      <c r="C590" s="16" t="s">
        <v>22</v>
      </c>
      <c r="D590" s="16" t="s">
        <v>588</v>
      </c>
      <c r="E590" s="17">
        <v>48.541800000000002</v>
      </c>
      <c r="F590" s="17">
        <v>-121.4397</v>
      </c>
      <c r="G590" s="23" t="str">
        <f>MakeLocationsCode(E590,F590)</f>
        <v>E7PE-HE6J</v>
      </c>
    </row>
    <row r="591" spans="1:7" ht="15.6" x14ac:dyDescent="0.45">
      <c r="A591" s="16" t="s">
        <v>639</v>
      </c>
      <c r="B591" s="16" t="s">
        <v>21</v>
      </c>
      <c r="C591" s="16" t="s">
        <v>22</v>
      </c>
      <c r="D591" s="16" t="s">
        <v>552</v>
      </c>
      <c r="E591" s="17">
        <v>48.471499999999999</v>
      </c>
      <c r="F591" s="17">
        <v>-120.17919999999999</v>
      </c>
      <c r="G591" s="23" t="str">
        <f>MakeLocationsCode(E591,F591)</f>
        <v>E7PI-9BPZ</v>
      </c>
    </row>
    <row r="592" spans="1:7" ht="15.6" x14ac:dyDescent="0.45">
      <c r="A592" s="16" t="s">
        <v>640</v>
      </c>
      <c r="B592" s="16" t="s">
        <v>21</v>
      </c>
      <c r="C592" s="16" t="s">
        <v>22</v>
      </c>
      <c r="D592" s="16" t="s">
        <v>552</v>
      </c>
      <c r="E592" s="17">
        <v>48.558599999999998</v>
      </c>
      <c r="F592" s="17">
        <v>-119.7521</v>
      </c>
      <c r="G592" s="23" t="str">
        <f>MakeLocationsCode(E592,F592)</f>
        <v>E7PJ-INX8</v>
      </c>
    </row>
    <row r="593" spans="1:7" ht="15.6" x14ac:dyDescent="0.45">
      <c r="A593" s="16" t="s">
        <v>641</v>
      </c>
      <c r="B593" s="16" t="s">
        <v>21</v>
      </c>
      <c r="C593" s="16" t="s">
        <v>22</v>
      </c>
      <c r="D593" s="16" t="s">
        <v>552</v>
      </c>
      <c r="E593" s="17">
        <v>48.422899999999998</v>
      </c>
      <c r="F593" s="17">
        <v>-119.5159</v>
      </c>
      <c r="G593" s="23" t="str">
        <f>MakeLocationsCode(E593,F593)</f>
        <v>E7PK-4EK9</v>
      </c>
    </row>
    <row r="594" spans="1:7" ht="15.6" x14ac:dyDescent="0.45">
      <c r="A594" s="16" t="s">
        <v>642</v>
      </c>
      <c r="B594" s="16" t="s">
        <v>21</v>
      </c>
      <c r="C594" s="16" t="s">
        <v>22</v>
      </c>
      <c r="D594" s="16" t="s">
        <v>552</v>
      </c>
      <c r="E594" s="17">
        <v>48.444000000000003</v>
      </c>
      <c r="F594" s="17">
        <v>-119.44589999999999</v>
      </c>
      <c r="G594" s="23" t="str">
        <f>MakeLocationsCode(E594,F594)</f>
        <v>E7PK-6LSN</v>
      </c>
    </row>
    <row r="595" spans="1:7" ht="15.6" x14ac:dyDescent="0.45">
      <c r="A595" s="16" t="s">
        <v>643</v>
      </c>
      <c r="B595" s="16" t="s">
        <v>21</v>
      </c>
      <c r="C595" s="16" t="s">
        <v>22</v>
      </c>
      <c r="D595" s="16" t="s">
        <v>552</v>
      </c>
      <c r="E595" s="17">
        <v>48.504800000000003</v>
      </c>
      <c r="F595" s="17">
        <v>-119.51</v>
      </c>
      <c r="G595" s="23" t="str">
        <f>MakeLocationsCode(E595,F595)</f>
        <v>E7PK-DE9U</v>
      </c>
    </row>
    <row r="596" spans="1:7" ht="15.6" x14ac:dyDescent="0.45">
      <c r="A596" s="16" t="s">
        <v>644</v>
      </c>
      <c r="B596" s="16" t="s">
        <v>21</v>
      </c>
      <c r="C596" s="16" t="s">
        <v>22</v>
      </c>
      <c r="D596" s="16" t="s">
        <v>552</v>
      </c>
      <c r="E596" s="17">
        <v>48.707500000000003</v>
      </c>
      <c r="F596" s="17">
        <v>-119.4409</v>
      </c>
      <c r="G596" s="23" t="str">
        <f>MakeLocationsCode(E596,F596)</f>
        <v>E7PK-YMP7</v>
      </c>
    </row>
    <row r="597" spans="1:7" ht="15.6" x14ac:dyDescent="0.45">
      <c r="A597" s="16" t="s">
        <v>645</v>
      </c>
      <c r="B597" s="16" t="s">
        <v>21</v>
      </c>
      <c r="C597" s="16" t="s">
        <v>22</v>
      </c>
      <c r="D597" s="16" t="s">
        <v>611</v>
      </c>
      <c r="E597" s="17">
        <v>48.648299999999999</v>
      </c>
      <c r="F597" s="17">
        <v>-118.7333</v>
      </c>
      <c r="G597" s="23" t="str">
        <f>MakeLocationsCode(E597,F597)</f>
        <v>E7PM-STG4</v>
      </c>
    </row>
    <row r="598" spans="1:7" ht="15.6" x14ac:dyDescent="0.45">
      <c r="A598" s="16" t="s">
        <v>646</v>
      </c>
      <c r="B598" s="16" t="s">
        <v>21</v>
      </c>
      <c r="C598" s="16" t="s">
        <v>22</v>
      </c>
      <c r="D598" s="16" t="s">
        <v>611</v>
      </c>
      <c r="E598" s="17">
        <v>48.650100000000002</v>
      </c>
      <c r="F598" s="17">
        <v>-118.68389999999999</v>
      </c>
      <c r="G598" s="23" t="str">
        <f>MakeLocationsCode(E598,F598)</f>
        <v>E7PM-SYMC</v>
      </c>
    </row>
    <row r="599" spans="1:7" ht="15.6" x14ac:dyDescent="0.45">
      <c r="A599" s="16" t="s">
        <v>647</v>
      </c>
      <c r="B599" s="16" t="s">
        <v>21</v>
      </c>
      <c r="C599" s="16" t="s">
        <v>22</v>
      </c>
      <c r="D599" s="16" t="s">
        <v>611</v>
      </c>
      <c r="E599" s="17">
        <v>48.677100000000003</v>
      </c>
      <c r="F599" s="17">
        <v>-118.66889999999999</v>
      </c>
      <c r="G599" s="23" t="str">
        <f>MakeLocationsCode(E599,F599)</f>
        <v>E7PM-VZIW</v>
      </c>
    </row>
    <row r="600" spans="1:7" ht="15.6" x14ac:dyDescent="0.45">
      <c r="A600" s="16" t="s">
        <v>648</v>
      </c>
      <c r="B600" s="16" t="s">
        <v>21</v>
      </c>
      <c r="C600" s="16" t="s">
        <v>22</v>
      </c>
      <c r="D600" s="16" t="s">
        <v>560</v>
      </c>
      <c r="E600" s="17">
        <v>48.605499999999999</v>
      </c>
      <c r="F600" s="17">
        <v>-118.062</v>
      </c>
      <c r="G600" s="23" t="str">
        <f>MakeLocationsCode(E600,F600)</f>
        <v>E7PO-NWW7</v>
      </c>
    </row>
    <row r="601" spans="1:7" ht="15.6" x14ac:dyDescent="0.45">
      <c r="A601" s="16" t="s">
        <v>649</v>
      </c>
      <c r="B601" s="16" t="s">
        <v>21</v>
      </c>
      <c r="C601" s="16" t="s">
        <v>22</v>
      </c>
      <c r="D601" s="16" t="s">
        <v>560</v>
      </c>
      <c r="E601" s="17">
        <v>48.664200000000001</v>
      </c>
      <c r="F601" s="17">
        <v>-118.0596</v>
      </c>
      <c r="G601" s="23" t="str">
        <f>MakeLocationsCode(E601,F601)</f>
        <v>E7PO-UW5F</v>
      </c>
    </row>
    <row r="602" spans="1:7" ht="15.6" x14ac:dyDescent="0.45">
      <c r="A602" s="16" t="s">
        <v>650</v>
      </c>
      <c r="B602" s="16" t="s">
        <v>21</v>
      </c>
      <c r="C602" s="16" t="s">
        <v>22</v>
      </c>
      <c r="D602" s="16" t="s">
        <v>560</v>
      </c>
      <c r="E602" s="17">
        <v>48.545400000000001</v>
      </c>
      <c r="F602" s="17">
        <v>-117.8985</v>
      </c>
      <c r="G602" s="23" t="str">
        <f>MakeLocationsCode(E602,F602)</f>
        <v>E7PP-HFJH</v>
      </c>
    </row>
    <row r="603" spans="1:7" ht="15.6" x14ac:dyDescent="0.45">
      <c r="A603" s="16" t="s">
        <v>651</v>
      </c>
      <c r="B603" s="16" t="s">
        <v>21</v>
      </c>
      <c r="C603" s="16" t="s">
        <v>22</v>
      </c>
      <c r="D603" s="16" t="s">
        <v>633</v>
      </c>
      <c r="E603" s="17">
        <v>48.988199999999999</v>
      </c>
      <c r="F603" s="17">
        <v>-123.0577</v>
      </c>
      <c r="G603" s="23" t="str">
        <f>MakeLocationsCode(E603,F603)</f>
        <v>E7Q9-UDG8</v>
      </c>
    </row>
    <row r="604" spans="1:7" ht="15.6" x14ac:dyDescent="0.45">
      <c r="A604" s="16" t="s">
        <v>652</v>
      </c>
      <c r="B604" s="16" t="s">
        <v>21</v>
      </c>
      <c r="C604" s="16" t="s">
        <v>22</v>
      </c>
      <c r="D604" s="16" t="s">
        <v>633</v>
      </c>
      <c r="E604" s="17">
        <v>48.793399999999998</v>
      </c>
      <c r="F604" s="17">
        <v>-122.5573</v>
      </c>
      <c r="G604" s="23" t="str">
        <f>MakeLocationsCode(E604,F604)</f>
        <v>E7QA-9WS8</v>
      </c>
    </row>
    <row r="605" spans="1:7" ht="15.6" x14ac:dyDescent="0.45">
      <c r="A605" s="16" t="s">
        <v>653</v>
      </c>
      <c r="B605" s="16" t="s">
        <v>21</v>
      </c>
      <c r="C605" s="16" t="s">
        <v>22</v>
      </c>
      <c r="D605" s="16" t="s">
        <v>633</v>
      </c>
      <c r="E605" s="17">
        <v>48.852600000000002</v>
      </c>
      <c r="F605" s="17">
        <v>-122.5894</v>
      </c>
      <c r="G605" s="23" t="str">
        <f>MakeLocationsCode(E605,F605)</f>
        <v>E7QA-GS3S</v>
      </c>
    </row>
    <row r="606" spans="1:7" ht="15.6" x14ac:dyDescent="0.45">
      <c r="A606" s="16" t="s">
        <v>654</v>
      </c>
      <c r="B606" s="16" t="s">
        <v>21</v>
      </c>
      <c r="C606" s="16" t="s">
        <v>22</v>
      </c>
      <c r="D606" s="16" t="s">
        <v>633</v>
      </c>
      <c r="E606" s="17">
        <v>48.912700000000001</v>
      </c>
      <c r="F606" s="17">
        <v>-122.6369</v>
      </c>
      <c r="G606" s="23" t="str">
        <f>MakeLocationsCode(E606,F606)</f>
        <v>E7QA-MNGR</v>
      </c>
    </row>
    <row r="607" spans="1:7" ht="15.6" x14ac:dyDescent="0.45">
      <c r="A607" s="16" t="s">
        <v>655</v>
      </c>
      <c r="B607" s="16" t="s">
        <v>21</v>
      </c>
      <c r="C607" s="16" t="s">
        <v>22</v>
      </c>
      <c r="D607" s="16" t="s">
        <v>633</v>
      </c>
      <c r="E607" s="17">
        <v>48.924300000000002</v>
      </c>
      <c r="F607" s="17">
        <v>-122.75190000000001</v>
      </c>
      <c r="G607" s="23" t="str">
        <f>MakeLocationsCode(E607,F607)</f>
        <v>E7QA-NBNL</v>
      </c>
    </row>
    <row r="608" spans="1:7" ht="15.6" x14ac:dyDescent="0.45">
      <c r="A608" s="16" t="s">
        <v>656</v>
      </c>
      <c r="B608" s="16" t="s">
        <v>21</v>
      </c>
      <c r="C608" s="16" t="s">
        <v>22</v>
      </c>
      <c r="D608" s="16" t="s">
        <v>633</v>
      </c>
      <c r="E608" s="17">
        <v>48.983899999999998</v>
      </c>
      <c r="F608" s="17">
        <v>-122.7414</v>
      </c>
      <c r="G608" s="23" t="str">
        <f>MakeLocationsCode(E608,F608)</f>
        <v>E7QA-TCYP</v>
      </c>
    </row>
    <row r="609" spans="1:7" ht="15.6" x14ac:dyDescent="0.45">
      <c r="A609" s="16" t="s">
        <v>657</v>
      </c>
      <c r="B609" s="16" t="s">
        <v>21</v>
      </c>
      <c r="C609" s="16" t="s">
        <v>22</v>
      </c>
      <c r="D609" s="16" t="s">
        <v>633</v>
      </c>
      <c r="E609" s="17">
        <v>48.723599999999998</v>
      </c>
      <c r="F609" s="17">
        <v>-122.3442</v>
      </c>
      <c r="G609" s="23" t="str">
        <f>MakeLocationsCode(E609,F609)</f>
        <v>E7QB-2KFR</v>
      </c>
    </row>
    <row r="610" spans="1:7" ht="15.6" x14ac:dyDescent="0.45">
      <c r="A610" s="16" t="s">
        <v>658</v>
      </c>
      <c r="B610" s="16" t="s">
        <v>21</v>
      </c>
      <c r="C610" s="16" t="s">
        <v>22</v>
      </c>
      <c r="D610" s="16" t="s">
        <v>633</v>
      </c>
      <c r="E610" s="17">
        <v>48.744599999999998</v>
      </c>
      <c r="F610" s="17">
        <v>-122.40430000000001</v>
      </c>
      <c r="G610" s="23" t="str">
        <f>MakeLocationsCode(E610,F610)</f>
        <v>E7QB-4ENF</v>
      </c>
    </row>
    <row r="611" spans="1:7" ht="15.6" x14ac:dyDescent="0.45">
      <c r="A611" s="16" t="s">
        <v>659</v>
      </c>
      <c r="B611" s="16" t="s">
        <v>21</v>
      </c>
      <c r="C611" s="16" t="s">
        <v>22</v>
      </c>
      <c r="D611" s="16" t="s">
        <v>633</v>
      </c>
      <c r="E611" s="17">
        <v>48.754800000000003</v>
      </c>
      <c r="F611" s="17">
        <v>-122.46899999999999</v>
      </c>
      <c r="G611" s="23" t="str">
        <f>MakeLocationsCode(E611,F611)</f>
        <v>E7QB-57PK</v>
      </c>
    </row>
    <row r="612" spans="1:7" ht="15.6" x14ac:dyDescent="0.45">
      <c r="A612" s="16" t="s">
        <v>660</v>
      </c>
      <c r="B612" s="16" t="s">
        <v>21</v>
      </c>
      <c r="C612" s="16" t="s">
        <v>22</v>
      </c>
      <c r="D612" s="16" t="s">
        <v>633</v>
      </c>
      <c r="E612" s="17">
        <v>48.831200000000003</v>
      </c>
      <c r="F612" s="17">
        <v>-122.239</v>
      </c>
      <c r="G612" s="23" t="str">
        <f>MakeLocationsCode(E612,F612)</f>
        <v>E7QB-DVSW</v>
      </c>
    </row>
    <row r="613" spans="1:7" ht="15.6" x14ac:dyDescent="0.45">
      <c r="A613" s="16" t="s">
        <v>661</v>
      </c>
      <c r="B613" s="16" t="s">
        <v>21</v>
      </c>
      <c r="C613" s="16" t="s">
        <v>22</v>
      </c>
      <c r="D613" s="16" t="s">
        <v>633</v>
      </c>
      <c r="E613" s="17">
        <v>48.912500000000001</v>
      </c>
      <c r="F613" s="17">
        <v>-122.3507</v>
      </c>
      <c r="G613" s="23" t="str">
        <f>MakeLocationsCode(E613,F613)</f>
        <v>E7QB-MKF3</v>
      </c>
    </row>
    <row r="614" spans="1:7" ht="15.6" x14ac:dyDescent="0.45">
      <c r="A614" s="16" t="s">
        <v>662</v>
      </c>
      <c r="B614" s="16" t="s">
        <v>21</v>
      </c>
      <c r="C614" s="16" t="s">
        <v>22</v>
      </c>
      <c r="D614" s="16" t="s">
        <v>633</v>
      </c>
      <c r="E614" s="17">
        <v>48.927599999999998</v>
      </c>
      <c r="F614" s="17">
        <v>-122.3186</v>
      </c>
      <c r="G614" s="23" t="str">
        <f>MakeLocationsCode(E614,F614)</f>
        <v>E7QB-NNZH</v>
      </c>
    </row>
    <row r="615" spans="1:7" ht="15.6" x14ac:dyDescent="0.45">
      <c r="A615" s="16" t="s">
        <v>663</v>
      </c>
      <c r="B615" s="16" t="s">
        <v>21</v>
      </c>
      <c r="C615" s="16" t="s">
        <v>22</v>
      </c>
      <c r="D615" s="16" t="s">
        <v>633</v>
      </c>
      <c r="E615" s="17">
        <v>48.950200000000002</v>
      </c>
      <c r="F615" s="17">
        <v>-122.4545</v>
      </c>
      <c r="G615" s="23" t="str">
        <f>MakeLocationsCode(E615,F615)</f>
        <v>E7QB-Q9F4</v>
      </c>
    </row>
    <row r="616" spans="1:7" ht="15.6" x14ac:dyDescent="0.45">
      <c r="A616" s="16" t="s">
        <v>664</v>
      </c>
      <c r="B616" s="16" t="s">
        <v>21</v>
      </c>
      <c r="C616" s="16" t="s">
        <v>22</v>
      </c>
      <c r="D616" s="16" t="s">
        <v>633</v>
      </c>
      <c r="E616" s="17">
        <v>48.9955</v>
      </c>
      <c r="F616" s="17">
        <v>-122.2694</v>
      </c>
      <c r="G616" s="23" t="str">
        <f>MakeLocationsCode(E616,F616)</f>
        <v>E7QB-VS8O</v>
      </c>
    </row>
    <row r="617" spans="1:7" ht="15.6" x14ac:dyDescent="0.45">
      <c r="A617" s="16" t="s">
        <v>665</v>
      </c>
      <c r="B617" s="16" t="s">
        <v>21</v>
      </c>
      <c r="C617" s="16" t="s">
        <v>22</v>
      </c>
      <c r="D617" s="16" t="s">
        <v>633</v>
      </c>
      <c r="E617" s="17">
        <v>48.890799999999999</v>
      </c>
      <c r="F617" s="17">
        <v>-121.93510000000001</v>
      </c>
      <c r="G617" s="23" t="str">
        <f>MakeLocationsCode(E617,F617)</f>
        <v>E7QC-KU54</v>
      </c>
    </row>
    <row r="618" spans="1:7" ht="15.6" x14ac:dyDescent="0.45">
      <c r="A618" s="16" t="s">
        <v>666</v>
      </c>
      <c r="B618" s="16" t="s">
        <v>21</v>
      </c>
      <c r="C618" s="16" t="s">
        <v>22</v>
      </c>
      <c r="D618" s="16" t="s">
        <v>633</v>
      </c>
      <c r="E618" s="17">
        <v>48.915599999999998</v>
      </c>
      <c r="F618" s="17">
        <v>-122.1336</v>
      </c>
      <c r="G618" s="23" t="str">
        <f>MakeLocationsCode(E618,F618)</f>
        <v>E7QC-M9Q3</v>
      </c>
    </row>
    <row r="619" spans="1:7" ht="15.6" x14ac:dyDescent="0.45">
      <c r="A619" s="16" t="s">
        <v>667</v>
      </c>
      <c r="B619" s="16" t="s">
        <v>21</v>
      </c>
      <c r="C619" s="16" t="s">
        <v>22</v>
      </c>
      <c r="D619" s="16" t="s">
        <v>633</v>
      </c>
      <c r="E619" s="17">
        <v>48.917900000000003</v>
      </c>
      <c r="F619" s="17">
        <v>-122.0943</v>
      </c>
      <c r="G619" s="23" t="str">
        <f>MakeLocationsCode(E619,F619)</f>
        <v>E7QC-MDY9</v>
      </c>
    </row>
    <row r="620" spans="1:7" ht="15.6" x14ac:dyDescent="0.45">
      <c r="A620" s="16" t="s">
        <v>668</v>
      </c>
      <c r="B620" s="16" t="s">
        <v>21</v>
      </c>
      <c r="C620" s="16" t="s">
        <v>22</v>
      </c>
      <c r="D620" s="16" t="s">
        <v>633</v>
      </c>
      <c r="E620" s="17">
        <v>48.950699999999998</v>
      </c>
      <c r="F620" s="17">
        <v>-122.1484</v>
      </c>
      <c r="G620" s="23" t="str">
        <f>MakeLocationsCode(E620,F620)</f>
        <v>E7QC-Q7HI</v>
      </c>
    </row>
    <row r="621" spans="1:7" ht="15.6" x14ac:dyDescent="0.45">
      <c r="A621" s="16" t="s">
        <v>669</v>
      </c>
      <c r="B621" s="16" t="s">
        <v>21</v>
      </c>
      <c r="C621" s="16" t="s">
        <v>22</v>
      </c>
      <c r="D621" s="16" t="s">
        <v>552</v>
      </c>
      <c r="E621" s="17">
        <v>48.823399999999999</v>
      </c>
      <c r="F621" s="17">
        <v>-119.6397</v>
      </c>
      <c r="G621" s="23" t="str">
        <f>MakeLocationsCode(E621,F621)</f>
        <v>E7QJ-CZY5</v>
      </c>
    </row>
    <row r="622" spans="1:7" ht="15.6" x14ac:dyDescent="0.45">
      <c r="A622" s="16" t="s">
        <v>670</v>
      </c>
      <c r="B622" s="16" t="s">
        <v>21</v>
      </c>
      <c r="C622" s="16" t="s">
        <v>22</v>
      </c>
      <c r="D622" s="16" t="s">
        <v>552</v>
      </c>
      <c r="E622" s="17">
        <v>48.941899999999997</v>
      </c>
      <c r="F622" s="17">
        <v>-119.43049999999999</v>
      </c>
      <c r="G622" s="23" t="str">
        <f>MakeLocationsCode(E622,F622)</f>
        <v>E7QK-PNJA</v>
      </c>
    </row>
    <row r="623" spans="1:7" ht="15.6" x14ac:dyDescent="0.45">
      <c r="A623" s="16" t="s">
        <v>671</v>
      </c>
      <c r="B623" s="16" t="s">
        <v>21</v>
      </c>
      <c r="C623" s="16" t="s">
        <v>22</v>
      </c>
      <c r="D623" s="16" t="s">
        <v>611</v>
      </c>
      <c r="E623" s="17">
        <v>48.731099999999998</v>
      </c>
      <c r="F623" s="17">
        <v>-118.66630000000001</v>
      </c>
      <c r="G623" s="23" t="str">
        <f>MakeLocationsCode(E623,F623)</f>
        <v>E7QN-3287</v>
      </c>
    </row>
    <row r="624" spans="1:7" ht="15.6" x14ac:dyDescent="0.45">
      <c r="A624" s="16" t="s">
        <v>672</v>
      </c>
      <c r="B624" s="16" t="s">
        <v>21</v>
      </c>
      <c r="C624" s="16" t="s">
        <v>22</v>
      </c>
      <c r="D624" s="16" t="s">
        <v>611</v>
      </c>
      <c r="E624" s="17">
        <v>48.799700000000001</v>
      </c>
      <c r="F624" s="17">
        <v>-118.61190000000001</v>
      </c>
      <c r="G624" s="23" t="str">
        <f>MakeLocationsCode(E624,F624)</f>
        <v>E7QN-A7HX</v>
      </c>
    </row>
    <row r="625" spans="1:7" ht="15.6" x14ac:dyDescent="0.45">
      <c r="A625" s="16" t="s">
        <v>673</v>
      </c>
      <c r="B625" s="16" t="s">
        <v>21</v>
      </c>
      <c r="C625" s="16" t="s">
        <v>22</v>
      </c>
      <c r="D625" s="16" t="s">
        <v>611</v>
      </c>
      <c r="E625" s="17">
        <v>48.877699999999997</v>
      </c>
      <c r="F625" s="17">
        <v>-118.6046</v>
      </c>
      <c r="G625" s="23" t="str">
        <f>MakeLocationsCode(E625,F625)</f>
        <v>E7QN-I8QP</v>
      </c>
    </row>
    <row r="626" spans="1:7" ht="15.6" x14ac:dyDescent="0.45">
      <c r="A626" s="16" t="s">
        <v>674</v>
      </c>
      <c r="B626" s="16" t="s">
        <v>21</v>
      </c>
      <c r="C626" s="16" t="s">
        <v>22</v>
      </c>
      <c r="D626" s="16" t="s">
        <v>611</v>
      </c>
      <c r="E626" s="17">
        <v>48.9938</v>
      </c>
      <c r="F626" s="17">
        <v>-118.5068</v>
      </c>
      <c r="G626" s="23" t="str">
        <f>MakeLocationsCode(E626,F626)</f>
        <v>E7QN-VJ24</v>
      </c>
    </row>
    <row r="627" spans="1:7" ht="15.6" x14ac:dyDescent="0.45">
      <c r="A627" s="16" t="s">
        <v>675</v>
      </c>
      <c r="B627" s="16" t="s">
        <v>21</v>
      </c>
      <c r="C627" s="16" t="s">
        <v>22</v>
      </c>
      <c r="D627" s="16" t="s">
        <v>611</v>
      </c>
      <c r="E627" s="17">
        <v>48.724499999999999</v>
      </c>
      <c r="F627" s="17">
        <v>-118.13209999999999</v>
      </c>
      <c r="G627" s="23" t="str">
        <f>MakeLocationsCode(E627,F627)</f>
        <v>E7QO-2OIQ</v>
      </c>
    </row>
    <row r="628" spans="1:7" ht="15.6" x14ac:dyDescent="0.45">
      <c r="A628" s="16" t="s">
        <v>676</v>
      </c>
      <c r="B628" s="16" t="s">
        <v>21</v>
      </c>
      <c r="C628" s="16" t="s">
        <v>22</v>
      </c>
      <c r="D628" s="16" t="s">
        <v>611</v>
      </c>
      <c r="E628" s="17">
        <v>48.778300000000002</v>
      </c>
      <c r="F628" s="17">
        <v>-118.13290000000001</v>
      </c>
      <c r="G628" s="23" t="str">
        <f>MakeLocationsCode(E628,F628)</f>
        <v>E7QO-8O8O</v>
      </c>
    </row>
    <row r="629" spans="1:7" ht="15.6" x14ac:dyDescent="0.45">
      <c r="A629" s="16" t="s">
        <v>677</v>
      </c>
      <c r="B629" s="16" t="s">
        <v>21</v>
      </c>
      <c r="C629" s="16" t="s">
        <v>22</v>
      </c>
      <c r="D629" s="16" t="s">
        <v>611</v>
      </c>
      <c r="E629" s="17">
        <v>48.863700000000001</v>
      </c>
      <c r="F629" s="17">
        <v>-118.2059</v>
      </c>
      <c r="G629" s="23" t="str">
        <f>MakeLocationsCode(E629,F629)</f>
        <v>E7QO-HG9X</v>
      </c>
    </row>
    <row r="630" spans="1:7" ht="15.6" x14ac:dyDescent="0.45">
      <c r="A630" s="16" t="s">
        <v>678</v>
      </c>
      <c r="B630" s="16" t="s">
        <v>21</v>
      </c>
      <c r="C630" s="16" t="s">
        <v>22</v>
      </c>
      <c r="D630" s="16" t="s">
        <v>611</v>
      </c>
      <c r="E630" s="17">
        <v>48.997399999999999</v>
      </c>
      <c r="F630" s="17">
        <v>-118.2248</v>
      </c>
      <c r="G630" s="23" t="str">
        <f>MakeLocationsCode(E630,F630)</f>
        <v>E7QO-VEFX</v>
      </c>
    </row>
    <row r="631" spans="1:7" ht="15.6" x14ac:dyDescent="0.45">
      <c r="A631" s="16" t="s">
        <v>679</v>
      </c>
      <c r="B631" s="16" t="s">
        <v>21</v>
      </c>
      <c r="C631" s="16" t="s">
        <v>22</v>
      </c>
      <c r="D631" s="16" t="s">
        <v>560</v>
      </c>
      <c r="E631" s="17">
        <v>48.915799999999997</v>
      </c>
      <c r="F631" s="17">
        <v>-117.77970000000001</v>
      </c>
      <c r="G631" s="23" t="str">
        <f>MakeLocationsCode(E631,F631)</f>
        <v>E7QP-MSR3</v>
      </c>
    </row>
    <row r="632" spans="1:7" ht="15.6" x14ac:dyDescent="0.45">
      <c r="A632" s="16" t="s">
        <v>680</v>
      </c>
      <c r="B632" s="16" t="s">
        <v>21</v>
      </c>
      <c r="C632" s="16" t="s">
        <v>22</v>
      </c>
      <c r="D632" s="16" t="s">
        <v>619</v>
      </c>
      <c r="E632" s="17">
        <v>48.74</v>
      </c>
      <c r="F632" s="17">
        <v>-117.42149999999999</v>
      </c>
      <c r="G632" s="23" t="str">
        <f>MakeLocationsCode(E632,F632)</f>
        <v>E7QQ-4V6Z</v>
      </c>
    </row>
    <row r="633" spans="1:7" ht="15.6" x14ac:dyDescent="0.45">
      <c r="A633" s="16" t="s">
        <v>681</v>
      </c>
      <c r="B633" s="16" t="s">
        <v>21</v>
      </c>
      <c r="C633" s="16" t="s">
        <v>22</v>
      </c>
      <c r="D633" s="16" t="s">
        <v>619</v>
      </c>
      <c r="E633" s="17">
        <v>48.853299999999997</v>
      </c>
      <c r="F633" s="17">
        <v>-117.38930000000001</v>
      </c>
      <c r="G633" s="23" t="str">
        <f>MakeLocationsCode(E633,F633)</f>
        <v>E7QQ-GZ6F</v>
      </c>
    </row>
    <row r="634" spans="1:7" ht="15.6" x14ac:dyDescent="0.45">
      <c r="A634" s="16" t="s">
        <v>682</v>
      </c>
      <c r="B634" s="16" t="s">
        <v>21</v>
      </c>
      <c r="C634" s="16" t="s">
        <v>22</v>
      </c>
      <c r="D634" s="16" t="s">
        <v>619</v>
      </c>
      <c r="E634" s="17">
        <v>48.861499999999999</v>
      </c>
      <c r="F634" s="17">
        <v>-117.37179999999999</v>
      </c>
      <c r="G634" s="23" t="str">
        <f>MakeLocationsCode(E634,F634)</f>
        <v>E7QR-G3ZA</v>
      </c>
    </row>
  </sheetData>
  <sortState xmlns:xlrd2="http://schemas.microsoft.com/office/spreadsheetml/2017/richdata2" ref="A2:I637">
    <sortCondition ref="G2:G63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intro</vt:lpstr>
      <vt:lpstr>encoding</vt:lpstr>
      <vt:lpstr>grid</vt:lpstr>
      <vt:lpstr>bulk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aldo buondonno</dc:creator>
  <cp:lastModifiedBy>aldo buondonno</cp:lastModifiedBy>
  <dcterms:created xsi:type="dcterms:W3CDTF">2026-01-10T17:55:20Z</dcterms:created>
  <dcterms:modified xsi:type="dcterms:W3CDTF">2026-02-25T12:18:44Z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98c86731-4db6-45d3-b552-14b7500cd287</vt:lpwstr>
  </property>
</Properties>
</file>