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Aldo\Desktop\"/>
    </mc:Choice>
  </mc:AlternateContent>
  <xr:revisionPtr revIDLastSave="0" documentId="13_ncr:1_{F1C241C5-002F-4FB0-B63D-99E0E2E1EAC6}" xr6:coauthVersionLast="47" xr6:coauthVersionMax="47" xr10:uidLastSave="{00000000-0000-0000-0000-000000000000}"/>
  <bookViews>
    <workbookView xWindow="-108" yWindow="-108" windowWidth="23256" windowHeight="12456" xr2:uid="{185FAC08-4089-495E-9B36-BAF7E1495A4D}"/>
  </bookViews>
  <sheets>
    <sheet name="encoding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6" i="1" l="1"/>
  <c r="D6" i="1" s="1"/>
  <c r="C5" i="1"/>
  <c r="D5" i="1" s="1"/>
  <c r="E15" i="1" a="1"/>
  <c r="E11" i="1" a="1"/>
  <c r="E13" i="1" a="1"/>
  <c r="E12" i="1" a="1"/>
  <c r="E14" i="1" a="1"/>
  <c r="E10" i="1" a="1"/>
  <c r="E5" i="1" a="1"/>
  <c r="E6" i="1" a="1"/>
  <c r="E15" i="1" l="1"/>
  <c r="E14" i="1"/>
  <c r="E12" i="1"/>
  <c r="E13" i="1"/>
  <c r="E11" i="1"/>
  <c r="E10" i="1"/>
  <c r="E5" i="1"/>
  <c r="E6" i="1"/>
  <c r="F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<sst xmlns="http://schemas.openxmlformats.org/spreadsheetml/2006/main" count="27" uniqueCount="27">
  <si>
    <t>Latitude</t>
  </si>
  <si>
    <t>Longitude</t>
  </si>
  <si>
    <t>The starting point is the coordinates in decimal format.</t>
  </si>
  <si>
    <t>To eliminate negative numbers we add 90 to latitude and 180 to longitude.</t>
  </si>
  <si>
    <t>Normalized coordinates are converted to arc seconds by multiplying by 3600.</t>
  </si>
  <si>
    <t>Conversion to base 34 slipped (2-9,A-Z)</t>
  </si>
  <si>
    <t>Character interleaving creates the
Locations Code</t>
  </si>
  <si>
    <t>Encoding Locations Code</t>
  </si>
  <si>
    <t>Rome</t>
  </si>
  <si>
    <t>Paris</t>
  </si>
  <si>
    <t>Berlin</t>
  </si>
  <si>
    <t>Madrid</t>
  </si>
  <si>
    <t>Lisbon</t>
  </si>
  <si>
    <t>Italy</t>
  </si>
  <si>
    <t>France</t>
  </si>
  <si>
    <t>Germany</t>
  </si>
  <si>
    <t>Spain</t>
  </si>
  <si>
    <t>Portugal</t>
  </si>
  <si>
    <t>The five steps that lead to the creation of a location code</t>
  </si>
  <si>
    <t>MakeLocationsCode function application examples</t>
  </si>
  <si>
    <t>lat</t>
  </si>
  <si>
    <t>capitals</t>
  </si>
  <si>
    <t>nation</t>
  </si>
  <si>
    <t>lng</t>
  </si>
  <si>
    <t>Locations Code</t>
  </si>
  <si>
    <t>London</t>
  </si>
  <si>
    <t>United Kingdom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</si>
</sst>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70" formatCode="_-* #,##0.0000_-;\-* #,##0.0000_-;_-* &quot;-&quot;??_-;_-@_-"/>
  </numFmts>
  <fonts count="9" x14ac:knownFonts="1">
    <font>
      <sz val="12"/>
      <color theme="1"/>
      <name val="Lexend Light"/>
      <family val="2"/>
    </font>
    <font>
      <sz val="12"/>
      <color theme="1"/>
      <name val="Lexend Light"/>
      <family val="2"/>
    </font>
    <font>
      <sz val="12"/>
      <color rgb="FF3F3F76"/>
      <name val="Lexend Light"/>
      <family val="2"/>
    </font>
    <font>
      <b/>
      <sz val="12"/>
      <color rgb="FF3F3F3F"/>
      <name val="Lexend Light"/>
      <family val="2"/>
    </font>
    <font>
      <sz val="9"/>
      <color rgb="FF111111"/>
      <name val="Lexend Light"/>
    </font>
    <font>
      <sz val="16"/>
      <color theme="1"/>
      <name val="Lexend Light"/>
      <family val="2"/>
    </font>
    <font>
      <b/>
      <sz val="16"/>
      <color theme="0"/>
      <name val="Lexend Light"/>
    </font>
    <font>
      <b/>
      <sz val="18"/>
      <color theme="4" tint="-0.249977111117893"/>
      <name val="Inter"/>
    </font>
    <font>
      <i/>
      <sz val="10"/>
      <color theme="1"/>
      <name val="Lexend Light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/>
      <bottom style="thin">
        <color rgb="FF3F3F3F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20">
    <xf numFmtId="0" fontId="0" fillId="0" borderId="0" xfId="0"/>
    <xf numFmtId="0" fontId="3" fillId="3" borderId="4" xfId="2" applyBorder="1"/>
    <xf numFmtId="164" fontId="5" fillId="0" borderId="3" xfId="0" applyNumberFormat="1" applyFont="1" applyBorder="1"/>
    <xf numFmtId="0" fontId="5" fillId="0" borderId="3" xfId="0" applyFont="1" applyBorder="1"/>
    <xf numFmtId="0" fontId="4" fillId="6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vertical="center"/>
    </xf>
    <xf numFmtId="0" fontId="3" fillId="3" borderId="5" xfId="2" applyBorder="1"/>
    <xf numFmtId="0" fontId="0" fillId="6" borderId="3" xfId="0" applyFill="1" applyBorder="1" applyAlignment="1">
      <alignment horizontal="center" vertical="center" wrapText="1"/>
    </xf>
    <xf numFmtId="0" fontId="2" fillId="2" borderId="1" xfId="1" applyAlignment="1">
      <alignment horizontal="center"/>
    </xf>
    <xf numFmtId="0" fontId="1" fillId="4" borderId="0" xfId="3"/>
    <xf numFmtId="170" fontId="1" fillId="4" borderId="0" xfId="3" applyNumberFormat="1"/>
    <xf numFmtId="0" fontId="1" fillId="4" borderId="0" xfId="3" applyAlignment="1">
      <alignment horizontal="center"/>
    </xf>
    <xf numFmtId="0" fontId="1" fillId="6" borderId="0" xfId="4" applyFill="1"/>
    <xf numFmtId="170" fontId="1" fillId="6" borderId="0" xfId="4" applyNumberFormat="1" applyFill="1"/>
    <xf numFmtId="0" fontId="1" fillId="6" borderId="0" xfId="4" applyFill="1" applyAlignment="1">
      <alignment horizontal="center"/>
    </xf>
    <xf numFmtId="0" fontId="8" fillId="0" borderId="0" xfId="0" applyFont="1"/>
    <xf numFmtId="0" fontId="1" fillId="0" borderId="0" xfId="3" applyFill="1" applyAlignment="1">
      <alignment horizontal="center"/>
    </xf>
    <xf numFmtId="0" fontId="7" fillId="0" borderId="0" xfId="0" applyFont="1" applyAlignment="1"/>
    <xf numFmtId="0" fontId="7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/>
    </xf>
  </cellXfs>
  <cellStyles count="5">
    <cellStyle name="20% - Colore 4" xfId="3" builtinId="42"/>
    <cellStyle name="20% - Colore 6" xfId="4" builtinId="50"/>
    <cellStyle name="Input" xfId="1" builtinId="20"/>
    <cellStyle name="Normale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6E4A8-FB70-4F22-B60E-735C21C68C81}">
  <sheetPr codeName="Foglio1"/>
  <dimension ref="A2:F24"/>
  <sheetViews>
    <sheetView tabSelected="1" topLeftCell="A3" workbookViewId="0">
      <selection activeCell="G11" sqref="G11"/>
    </sheetView>
  </sheetViews>
  <sheetFormatPr defaultRowHeight="22.2" x14ac:dyDescent="0.65"/>
  <cols>
    <col min="1" max="5" width="13.58203125" customWidth="1"/>
    <col min="6" max="6" width="21.08203125" bestFit="1" customWidth="1"/>
    <col min="7" max="7" width="29" bestFit="1" customWidth="1"/>
  </cols>
  <sheetData>
    <row r="2" spans="1:6" ht="28.2" x14ac:dyDescent="0.65">
      <c r="A2" s="18" t="s">
        <v>18</v>
      </c>
      <c r="B2" s="18"/>
      <c r="C2" s="18"/>
      <c r="D2" s="18"/>
      <c r="E2" s="18"/>
      <c r="F2" s="18"/>
    </row>
    <row r="4" spans="1:6" ht="90.6" customHeight="1" x14ac:dyDescent="0.65">
      <c r="A4" s="7" t="s">
        <v>7</v>
      </c>
      <c r="B4" s="4" t="s">
        <v>2</v>
      </c>
      <c r="C4" s="4" t="s">
        <v>3</v>
      </c>
      <c r="D4" s="4" t="s">
        <v>4</v>
      </c>
      <c r="E4" s="4" t="s">
        <v>5</v>
      </c>
      <c r="F4" s="4" t="s">
        <v>6</v>
      </c>
    </row>
    <row r="5" spans="1:6" ht="29.4" x14ac:dyDescent="0.85">
      <c r="A5" s="6" t="s">
        <v>0</v>
      </c>
      <c r="B5" s="2">
        <v>41.893099999999997</v>
      </c>
      <c r="C5" s="2">
        <f>+B5+90</f>
        <v>131.8931</v>
      </c>
      <c r="D5" s="3">
        <f>ROUND(C5*3600,0)</f>
        <v>474815</v>
      </c>
      <c r="E5" s="3" t="str" cm="1">
        <f t="array" ref="E5">ConvertToBase34(D5)</f>
        <v>E4R7</v>
      </c>
      <c r="F5" s="5" t="str">
        <f>LEFT(E5,1)&amp;LEFT(E6,1)&amp;MID(E5,2,1)&amp;MID(E6,2,1)&amp;"-"&amp;MID(E5,3,1)&amp;MID(E6,3,1)&amp;MID(E5,4,1)&amp;MID(E6,4,1)</f>
        <v>EJ4N-RG7K</v>
      </c>
    </row>
    <row r="6" spans="1:6" ht="29.4" x14ac:dyDescent="0.85">
      <c r="A6" s="1" t="s">
        <v>1</v>
      </c>
      <c r="B6" s="2">
        <v>12.482799999999999</v>
      </c>
      <c r="C6" s="2">
        <f>+B6+180</f>
        <v>192.4828</v>
      </c>
      <c r="D6" s="3">
        <f>ROUND(C6*3600,0)</f>
        <v>692938</v>
      </c>
      <c r="E6" s="3" t="str" cm="1">
        <f t="array" ref="E6">ConvertToBase34(D6)</f>
        <v>JNGK</v>
      </c>
      <c r="F6" s="5"/>
    </row>
    <row r="8" spans="1:6" ht="28.2" x14ac:dyDescent="0.7">
      <c r="A8" s="19" t="s">
        <v>19</v>
      </c>
      <c r="B8" s="19"/>
      <c r="C8" s="19"/>
      <c r="D8" s="19"/>
      <c r="E8" s="19"/>
    </row>
    <row r="9" spans="1:6" x14ac:dyDescent="0.65">
      <c r="A9" s="8" t="s">
        <v>21</v>
      </c>
      <c r="B9" s="8" t="s">
        <v>22</v>
      </c>
      <c r="C9" s="8" t="s">
        <v>20</v>
      </c>
      <c r="D9" s="8" t="s">
        <v>23</v>
      </c>
      <c r="E9" s="8" t="s">
        <v>24</v>
      </c>
    </row>
    <row r="10" spans="1:6" x14ac:dyDescent="0.65">
      <c r="A10" s="9" t="s">
        <v>8</v>
      </c>
      <c r="B10" s="9" t="s">
        <v>13</v>
      </c>
      <c r="C10" s="10">
        <v>41.893099999999997</v>
      </c>
      <c r="D10" s="10">
        <v>12.482799999999999</v>
      </c>
      <c r="E10" s="11" t="str" cm="1">
        <f t="array" ref="E10">MakeLocationsCode(C10,D10)</f>
        <v>EJ4N-RG7K</v>
      </c>
    </row>
    <row r="11" spans="1:6" x14ac:dyDescent="0.65">
      <c r="A11" s="12" t="s">
        <v>9</v>
      </c>
      <c r="B11" s="12" t="s">
        <v>14</v>
      </c>
      <c r="C11" s="13">
        <v>48.856699999999996</v>
      </c>
      <c r="D11" s="13">
        <v>2.3521999999999998</v>
      </c>
      <c r="E11" s="14" t="str" cm="1">
        <f t="array" ref="E11">MakeLocationsCode(C11,D11)</f>
        <v>EIQP-GVIW</v>
      </c>
    </row>
    <row r="12" spans="1:6" x14ac:dyDescent="0.65">
      <c r="A12" s="9" t="s">
        <v>10</v>
      </c>
      <c r="B12" s="9" t="s">
        <v>15</v>
      </c>
      <c r="C12" s="10">
        <v>52.52</v>
      </c>
      <c r="D12" s="10">
        <v>13.404999999999999</v>
      </c>
      <c r="E12" s="11" t="str" cm="1">
        <f t="array" ref="E12">MakeLocationsCode(C12,D12)</f>
        <v>FJ3Q-UCE8</v>
      </c>
    </row>
    <row r="13" spans="1:6" x14ac:dyDescent="0.65">
      <c r="A13" s="12" t="s">
        <v>11</v>
      </c>
      <c r="B13" s="12" t="s">
        <v>16</v>
      </c>
      <c r="C13" s="13">
        <v>40.416899999999998</v>
      </c>
      <c r="D13" s="13">
        <v>-3.7033</v>
      </c>
      <c r="E13" s="14" t="str" cm="1">
        <f t="array" ref="E13">MakeLocationsCode(C13,D13)</f>
        <v>DIY7-62VQ</v>
      </c>
    </row>
    <row r="14" spans="1:6" x14ac:dyDescent="0.65">
      <c r="A14" s="9" t="s">
        <v>12</v>
      </c>
      <c r="B14" s="9" t="s">
        <v>17</v>
      </c>
      <c r="C14" s="10">
        <v>38.712200000000003</v>
      </c>
      <c r="D14" s="10">
        <v>-9.1340000000000003</v>
      </c>
      <c r="E14" s="11" t="str" cm="1">
        <f t="array" ref="E14">MakeLocationsCode(C14,D14)</f>
        <v>DHSO-U5EQ</v>
      </c>
    </row>
    <row r="15" spans="1:6" x14ac:dyDescent="0.65">
      <c r="A15" s="12" t="s">
        <v>25</v>
      </c>
      <c r="B15" s="12" t="s">
        <v>26</v>
      </c>
      <c r="C15" s="13">
        <v>51.507199999999997</v>
      </c>
      <c r="D15" s="13">
        <v>-0.1275</v>
      </c>
      <c r="E15" s="14" t="str" cm="1">
        <f t="array" ref="E15">MakeLocationsCode(C15,D15)</f>
        <v>EIYI-P76D</v>
      </c>
    </row>
    <row r="17" spans="1:6" ht="28.2" x14ac:dyDescent="0.7">
      <c r="A17" s="17"/>
      <c r="B17" s="17"/>
      <c r="C17" s="17"/>
      <c r="D17" s="17"/>
      <c r="E17" s="17"/>
    </row>
    <row r="18" spans="1:6" ht="28.2" x14ac:dyDescent="0.7">
      <c r="A18" s="17"/>
      <c r="B18" s="17"/>
      <c r="C18" s="17"/>
      <c r="D18" s="17"/>
      <c r="E18" s="16"/>
      <c r="F18" s="15"/>
    </row>
    <row r="19" spans="1:6" ht="28.2" x14ac:dyDescent="0.7">
      <c r="A19" s="17"/>
      <c r="B19" s="17"/>
      <c r="C19" s="17"/>
      <c r="D19" s="17"/>
      <c r="E19" s="16"/>
      <c r="F19" s="15"/>
    </row>
    <row r="20" spans="1:6" ht="28.2" x14ac:dyDescent="0.7">
      <c r="A20" s="17"/>
      <c r="B20" s="17"/>
      <c r="C20" s="17"/>
      <c r="D20" s="17"/>
      <c r="E20" s="16"/>
      <c r="F20" s="15"/>
    </row>
    <row r="21" spans="1:6" ht="28.2" x14ac:dyDescent="0.7">
      <c r="A21" s="17"/>
      <c r="B21" s="17"/>
      <c r="C21" s="17"/>
      <c r="D21" s="17"/>
      <c r="E21" s="16"/>
      <c r="F21" s="15"/>
    </row>
    <row r="22" spans="1:6" ht="28.2" x14ac:dyDescent="0.7">
      <c r="A22" s="17"/>
      <c r="B22" s="17"/>
      <c r="C22" s="17"/>
      <c r="D22" s="17"/>
      <c r="E22" s="16"/>
      <c r="F22" s="15"/>
    </row>
    <row r="23" spans="1:6" ht="28.2" x14ac:dyDescent="0.7">
      <c r="A23" s="17"/>
      <c r="B23" s="17"/>
      <c r="C23" s="17"/>
      <c r="D23" s="17"/>
    </row>
    <row r="24" spans="1:6" ht="28.2" x14ac:dyDescent="0.7">
      <c r="A24" s="17"/>
      <c r="B24" s="17"/>
      <c r="C24" s="17"/>
      <c r="D24" s="17"/>
    </row>
  </sheetData>
  <mergeCells count="3">
    <mergeCell ref="F5:F6"/>
    <mergeCell ref="A2:F2"/>
    <mergeCell ref="A8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encoding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aldo buondonno</dc:creator>
  <cp:lastModifiedBy>aldo buondonno</cp:lastModifiedBy>
  <dcterms:created xsi:type="dcterms:W3CDTF">2026-08-15T16:24:29Z</dcterms:created>
  <dcterms:modified xsi:type="dcterms:W3CDTF">2026-08-15T21:35:15Z</dcterms:modified>
</cp:coreProperties>
</file>